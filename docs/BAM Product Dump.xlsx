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edwines-my.sharepoint.com/personal/sales_qedwines_com_au/Documents/Desktop/Darren Smith/Obsidian Repositories/awo-wine-wiki/content/"/>
    </mc:Choice>
  </mc:AlternateContent>
  <xr:revisionPtr revIDLastSave="0" documentId="8_{854E4361-5B51-417A-BB37-2B963803AC3B}" xr6:coauthVersionLast="47" xr6:coauthVersionMax="47" xr10:uidLastSave="{00000000-0000-0000-0000-000000000000}"/>
  <bookViews>
    <workbookView xWindow="29895" yWindow="1785" windowWidth="21510" windowHeight="11295" xr2:uid="{A68D9720-1C3C-488C-B526-D069FF541234}"/>
  </bookViews>
  <sheets>
    <sheet name="Stock" sheetId="1" r:id="rId1"/>
    <sheet name="QA &amp; Damages" sheetId="5" r:id="rId2"/>
    <sheet name="Email Detail" sheetId="18" state="hidden" r:id="rId3"/>
  </sheets>
  <definedNames>
    <definedName name="Customer">'QA &amp; Damages'!$D$8</definedName>
    <definedName name="EmailBody">'Email Detail'!$F$9</definedName>
    <definedName name="EmailSubject">'Email Detail'!$F$5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5" l="1"/>
  <c r="P12" i="5"/>
  <c r="Q12" i="5"/>
  <c r="T12" i="5"/>
  <c r="U12" i="5"/>
  <c r="V12" i="5"/>
  <c r="L16" i="5"/>
  <c r="M16" i="5"/>
  <c r="E435" i="1"/>
  <c r="F435" i="1"/>
  <c r="C2" i="18"/>
</calcChain>
</file>

<file path=xl/sharedStrings.xml><?xml version="1.0" encoding="utf-8"?>
<sst xmlns="http://schemas.openxmlformats.org/spreadsheetml/2006/main" count="2262" uniqueCount="794">
  <si>
    <t>Auto+Hide+Values</t>
  </si>
  <si>
    <t>Hide</t>
  </si>
  <si>
    <t>Tables and Fields</t>
  </si>
  <si>
    <t>Filters</t>
  </si>
  <si>
    <t>Bin Content</t>
  </si>
  <si>
    <t>Bin Type Code</t>
  </si>
  <si>
    <t>Quantity</t>
  </si>
  <si>
    <t>&gt;0</t>
  </si>
  <si>
    <t>Item</t>
  </si>
  <si>
    <t>ECVP Customer No.</t>
  </si>
  <si>
    <t>Links:</t>
  </si>
  <si>
    <t>Headers:</t>
  </si>
  <si>
    <t>Fields:</t>
  </si>
  <si>
    <t>Location Code</t>
  </si>
  <si>
    <t>Bin Code</t>
  </si>
  <si>
    <t>Item No.</t>
  </si>
  <si>
    <t>Item - Description</t>
  </si>
  <si>
    <t>Item - Description 2</t>
  </si>
  <si>
    <t>Unit of Measure Code</t>
  </si>
  <si>
    <t>QA | DAMAGE</t>
  </si>
  <si>
    <t>Auto+Hide+Values+HideSheet</t>
  </si>
  <si>
    <t>Name</t>
  </si>
  <si>
    <t>Email</t>
  </si>
  <si>
    <t>First Name</t>
  </si>
  <si>
    <t>Email Subject</t>
  </si>
  <si>
    <t>BAM - Customer Stock on Hand Report</t>
  </si>
  <si>
    <t>Email Body</t>
  </si>
  <si>
    <t>Warehouse</t>
  </si>
  <si>
    <t>Bin Type</t>
  </si>
  <si>
    <t>Stock Type</t>
  </si>
  <si>
    <t>Customer No.</t>
  </si>
  <si>
    <t>UOM</t>
  </si>
  <si>
    <t>QE</t>
  </si>
  <si>
    <t>AutoTable</t>
  </si>
  <si>
    <t>Fit</t>
  </si>
  <si>
    <t>AutoTable+Fit</t>
  </si>
  <si>
    <t>Total</t>
  </si>
  <si>
    <t>NSW</t>
  </si>
  <si>
    <t>QECF22VAB</t>
  </si>
  <si>
    <t>Casal Figueira Antonio Branco 2022</t>
  </si>
  <si>
    <t/>
  </si>
  <si>
    <t>EA</t>
  </si>
  <si>
    <t>QEGRA23GDKO</t>
  </si>
  <si>
    <t>Grace Gris de Koshu 2023</t>
  </si>
  <si>
    <t>QEWWW22IDB</t>
  </si>
  <si>
    <t>Carlos Raposo Impecavel Branco DOC DAO 2022</t>
  </si>
  <si>
    <t>QECRS23RO</t>
  </si>
  <si>
    <t>23 Chateau Routas Coteaux Varois en Provence Rose</t>
  </si>
  <si>
    <t>QEFRE23CRC</t>
  </si>
  <si>
    <t>Freeman Corvina Rondinella Corona 23- 12pk</t>
  </si>
  <si>
    <t>QEJS22BV</t>
  </si>
  <si>
    <t>JulSunier Beaujolais Village Wild Soul 2022</t>
  </si>
  <si>
    <t>QEVNT24NEO</t>
  </si>
  <si>
    <t>Vinteloper (Black Label) Neonoir 2024</t>
  </si>
  <si>
    <t>QEMF24SP</t>
  </si>
  <si>
    <t>2024 Mayfield Sparkling Cuvee</t>
  </si>
  <si>
    <t>QEFRE24PRO</t>
  </si>
  <si>
    <t>Freeman Prosecco 2024</t>
  </si>
  <si>
    <t>QEWES20MBC</t>
  </si>
  <si>
    <t>Woodlands Malbec Wilyabrup Valley 20 - 12PK</t>
  </si>
  <si>
    <t>QEVNT22MNT</t>
  </si>
  <si>
    <t>Vinteloper (Black Label) Montepulciano 2022</t>
  </si>
  <si>
    <t>QEDBB21RE</t>
  </si>
  <si>
    <t>Domaine Barmes Buecher Riesling Vins de Fruit 2021</t>
  </si>
  <si>
    <t>QEAM22BR</t>
  </si>
  <si>
    <t>Antonio Madeira Dao Branco 2022</t>
  </si>
  <si>
    <t>QECSA23BRO</t>
  </si>
  <si>
    <t>Chateau Ste Anne AOC Bandol Rose 12pk 2023</t>
  </si>
  <si>
    <t>QEDDS21JMS</t>
  </si>
  <si>
    <t>Dom de Souch Juranpon Monp Sec 2021</t>
  </si>
  <si>
    <t>QEFRE24RO</t>
  </si>
  <si>
    <t>Freeman Rose Rondo 2024- 12PK</t>
  </si>
  <si>
    <t>QERIP20PN</t>
  </si>
  <si>
    <t>Pinot Noir Rippon MV Rippon</t>
  </si>
  <si>
    <t>QEPW23DNMCBT</t>
  </si>
  <si>
    <t>Pato Wouters D.N.M.C Baga Tinto 2023</t>
  </si>
  <si>
    <t>QEWES21EMILY</t>
  </si>
  <si>
    <t>W/lands Emily 2021 Special Reserve</t>
  </si>
  <si>
    <t>QEGRA22KABL</t>
  </si>
  <si>
    <t>Grace Koshu Kayagatake Blanc 2022</t>
  </si>
  <si>
    <t>QEVNT24PG</t>
  </si>
  <si>
    <t>Vinteloper (White Label) Pinot Gris 2024</t>
  </si>
  <si>
    <t>QEWES21CM</t>
  </si>
  <si>
    <t>Woodlands 21 CabSauv Wilyaburp Valley-12pk</t>
  </si>
  <si>
    <t>QEGRA21KO</t>
  </si>
  <si>
    <t>Grace Koshu 2021</t>
  </si>
  <si>
    <t>QEMF23PN</t>
  </si>
  <si>
    <t>Mayfield Estate Pinot Noir- Mrs Crawford</t>
  </si>
  <si>
    <t>QEWWW23IDB</t>
  </si>
  <si>
    <t>Carlos Raposo Impecavel Branco DOC DAO 2023</t>
  </si>
  <si>
    <t>QEWES20CMMARG</t>
  </si>
  <si>
    <t>WOODLANDS CABERNET MERLOT MAL RESERVE MARGARET 20</t>
  </si>
  <si>
    <t>QEGRA22YGR</t>
  </si>
  <si>
    <t>Grace Yamanashi de Grace Rouge 2022</t>
  </si>
  <si>
    <t>QEFB17SC</t>
  </si>
  <si>
    <t>Forrest Beach Est Shz 12 pack</t>
  </si>
  <si>
    <t>QEWF18CM</t>
  </si>
  <si>
    <t>Watson Family Classic Cabernet Merlot 2018</t>
  </si>
  <si>
    <t>QEJS18BV</t>
  </si>
  <si>
    <t>JulSunier Beaujolais Village Wild Soul</t>
  </si>
  <si>
    <t>QEWWW22IDT</t>
  </si>
  <si>
    <t>Impecavel Tinto DOC Dao 2022</t>
  </si>
  <si>
    <t>QEMF23CHEF</t>
  </si>
  <si>
    <t>2023 Mayfield Chardonnay Eighteen Fifteen</t>
  </si>
  <si>
    <t>QEDDS22JM</t>
  </si>
  <si>
    <t>Dom de Souch Jura Monplaisir 2022</t>
  </si>
  <si>
    <t>QEAM20T</t>
  </si>
  <si>
    <t>Antonio Madeira Dao Tinto</t>
  </si>
  <si>
    <t>QEHF22EB3M</t>
  </si>
  <si>
    <t>Hayes Family Estate Mataro Block 3 2022</t>
  </si>
  <si>
    <t>QEPSALE</t>
  </si>
  <si>
    <t>POINT OF SALE</t>
  </si>
  <si>
    <t>CTN</t>
  </si>
  <si>
    <t>QELS20XITC6</t>
  </si>
  <si>
    <t>Luis Seabra Xisto Ilimitado Tinto 2020</t>
  </si>
  <si>
    <t>QEVNT24RO</t>
  </si>
  <si>
    <t>Vinteloper (White Label) Rose 2024</t>
  </si>
  <si>
    <t>QEMF24SB</t>
  </si>
  <si>
    <t>2024 Mayfield Sauvignon Blanc Sophie's Godmother</t>
  </si>
  <si>
    <t>QECDLR20CB</t>
  </si>
  <si>
    <t>Chateau Roche Rose Chen Blc Cuvee Colette Amphora 20</t>
  </si>
  <si>
    <t>QEWF20CF</t>
  </si>
  <si>
    <t>Watson Family Cabernet Franc</t>
  </si>
  <si>
    <t>QEWES19CLE</t>
  </si>
  <si>
    <t>W/LANDS CS/P/V/ MAl/CLEMENTINE 19 - 12pk</t>
  </si>
  <si>
    <t>QEWES23CH</t>
  </si>
  <si>
    <t>Woodlands Chardonnay 2023 Wilyabrup Valley 12PK</t>
  </si>
  <si>
    <t>QEFRE21TEMP</t>
  </si>
  <si>
    <t>Freeman Tempranillo "Altura Vineyards" 2021</t>
  </si>
  <si>
    <t>QEWES20CFM</t>
  </si>
  <si>
    <t>Woodlands Cabernet Franc Merlot 2020</t>
  </si>
  <si>
    <t>QEVNT23SKN</t>
  </si>
  <si>
    <t>Vinteloper (Black Label) SKINS 2023</t>
  </si>
  <si>
    <t>QEHF22VSPGG</t>
  </si>
  <si>
    <t>Hayes Family VS Grenache Prayer Garden 2022 6pk</t>
  </si>
  <si>
    <t>QEHF22VSGG</t>
  </si>
  <si>
    <t>Hayes Family VS Grenache Glengrae 2022 6pk</t>
  </si>
  <si>
    <t>QEMF24RE</t>
  </si>
  <si>
    <t>2024 Mayfield Riesling Backyard</t>
  </si>
  <si>
    <t>QEHF22VSKG</t>
  </si>
  <si>
    <t>Hayes Family VS Grenache Koonunga 2022 6pk</t>
  </si>
  <si>
    <t>QEGRA23KO375</t>
  </si>
  <si>
    <t>Grace Koshu PR 2023 375ml</t>
  </si>
  <si>
    <t>QEHF22BVAM</t>
  </si>
  <si>
    <t>Hayes Family BV Mataro Alice's 2022</t>
  </si>
  <si>
    <t>QEHF22EB2G</t>
  </si>
  <si>
    <t>Hayes Family Estate Grenache Block 2 2022</t>
  </si>
  <si>
    <t>QECR19DB</t>
  </si>
  <si>
    <t>Carlos Raposo Definido Branco</t>
  </si>
  <si>
    <t>QEDDS17MK</t>
  </si>
  <si>
    <t>Domaine de Souch Juranbon Moelleux Barrique Marie Kattalin 2017</t>
  </si>
  <si>
    <t>QEDDS17JS</t>
  </si>
  <si>
    <t>Domaine de Souch Juranpon Cuvee Domaine Sec</t>
  </si>
  <si>
    <t>QEDRJ20BA</t>
  </si>
  <si>
    <t>Domaine Remi Jobard Bourgogne Aligote</t>
  </si>
  <si>
    <t>QEHF21BVAM</t>
  </si>
  <si>
    <t>Hayes Family BV Mataro Alice's 2021</t>
  </si>
  <si>
    <t>QECR18DT</t>
  </si>
  <si>
    <t>Carlos Raposo Definido Tinto</t>
  </si>
  <si>
    <t>QEHF21EB2G</t>
  </si>
  <si>
    <t>Hayes Family Estate Grenache Block 2 2021</t>
  </si>
  <si>
    <t>QEDSAO16ROMAG-C3</t>
  </si>
  <si>
    <t>Dom Saint And LOratoire Rose CottVarois en Provence 3pk</t>
  </si>
  <si>
    <t>QEWES19MALRDLC</t>
  </si>
  <si>
    <t>Wlands Malbec Reserve de la Cave</t>
  </si>
  <si>
    <t>QEBWV21NEB</t>
  </si>
  <si>
    <t>Brackenwood Nebbiolo 2021 6pk</t>
  </si>
  <si>
    <t>QEDBB19PGROS</t>
  </si>
  <si>
    <t>D/Barmes Buecher Pinot Gris Rosenberg 1er Cru 2019</t>
  </si>
  <si>
    <t>QEJS17REGMAG</t>
  </si>
  <si>
    <t>Jul Sunier RÚgniÚ Cru Beauj MAGNUM</t>
  </si>
  <si>
    <t>QEWES18MALRDLC</t>
  </si>
  <si>
    <t>QERIP16PNTBQ-C6</t>
  </si>
  <si>
    <t>Rippon Pinot Noir Tinker's Bequest 6 pack</t>
  </si>
  <si>
    <t>QEDC21BACDQT</t>
  </si>
  <si>
    <t>Chevrot Bourgogne Aligote Cuvee des Quatre 2021</t>
  </si>
  <si>
    <t>QEPWNVB3</t>
  </si>
  <si>
    <t>Pato Wouters 3B BDB Brut NV</t>
  </si>
  <si>
    <t>QEPW21NCBT</t>
  </si>
  <si>
    <t>Pato Wouters Nossa Cal Baga Tinto 2021</t>
  </si>
  <si>
    <t>QERIP11PNEMB</t>
  </si>
  <si>
    <t>Rippon Pinot Noir Emma's Block Mature Vine 2011</t>
  </si>
  <si>
    <t>QERIP11ROSE</t>
  </si>
  <si>
    <t>Rippon Gamay Rose 2011</t>
  </si>
  <si>
    <t>QEGRA22KO</t>
  </si>
  <si>
    <t>Grace Koshu 2022</t>
  </si>
  <si>
    <t>QECC14CS</t>
  </si>
  <si>
    <t>Ch Canadel CV Spec Rouge</t>
  </si>
  <si>
    <t>QEDC21MLCRR</t>
  </si>
  <si>
    <t>Chevrot Maranges 1er Cru Les Clos Roussots 2021</t>
  </si>
  <si>
    <t>QEDDS17JCDMAG</t>
  </si>
  <si>
    <t>Domaine de Souch Jurancon Cuvee Domaine Mag 17 3pk</t>
  </si>
  <si>
    <t>QEGRA17CMR</t>
  </si>
  <si>
    <t>Grace Cuvee Misawa Rouge</t>
  </si>
  <si>
    <t>QETC20EDTBL</t>
  </si>
  <si>
    <t>TC Esprit de Tablas Blc 2020</t>
  </si>
  <si>
    <t>QECR18IT</t>
  </si>
  <si>
    <t>Carlos Raposo Ideal Tinto</t>
  </si>
  <si>
    <t>QEDBB19REROS</t>
  </si>
  <si>
    <t>D/Barmes Riesling Rosenberg Vins Terroir</t>
  </si>
  <si>
    <t>QEDRJ22PNSLV</t>
  </si>
  <si>
    <t>Remi Jobard Monthelie 1er Cru Sur La Velle Pinot Noir</t>
  </si>
  <si>
    <t>QEDBB21SYLROS</t>
  </si>
  <si>
    <t>D/Barmes Buecher Sylvaner Rosenberg 2021</t>
  </si>
  <si>
    <t>QEGRA19CMBL</t>
  </si>
  <si>
    <t>Grace Cuvee Misawa Blanc 2019</t>
  </si>
  <si>
    <t>QEWES17MAL</t>
  </si>
  <si>
    <t>Woodland Malbec Reserve DLC Reserve de la Cave</t>
  </si>
  <si>
    <t>QEFRE23SAN</t>
  </si>
  <si>
    <t>Freeman Sangiovese AlturaVyard 12pack 2023</t>
  </si>
  <si>
    <t>QETC20EDTRD</t>
  </si>
  <si>
    <t>TC Esprit de Tablas Rouge 2020</t>
  </si>
  <si>
    <t>QEFRE22CS</t>
  </si>
  <si>
    <t>Freeman Cabernet Sauvignon Altura Vineyard 2022</t>
  </si>
  <si>
    <t>QEDRJ20BBVV</t>
  </si>
  <si>
    <t>Domaine Remi Jobard Bourgogne Vieilles Vignes</t>
  </si>
  <si>
    <t>QEWES20MALRDLC</t>
  </si>
  <si>
    <t>QEBWV17REBT</t>
  </si>
  <si>
    <t>B/wood V/yard Botrytis Riesling 500ml</t>
  </si>
  <si>
    <t>QEDBB21MUSO</t>
  </si>
  <si>
    <t>D/Barmes Buecher Muscat Ottonel 2021</t>
  </si>
  <si>
    <t>QEAM18APT</t>
  </si>
  <si>
    <t>Antonio Madeira Dao A Palheira Tinto</t>
  </si>
  <si>
    <t>QEWES20CSEL</t>
  </si>
  <si>
    <t>Woodlands cabernet Sauvignon Eleanor 2020</t>
  </si>
  <si>
    <t>QEAVG22TV</t>
  </si>
  <si>
    <t>Adega Viuva Gomes Tinto Viticultores 2022 6pk</t>
  </si>
  <si>
    <t>QECR19IB</t>
  </si>
  <si>
    <t>Carlos Raposo Ideal Branco</t>
  </si>
  <si>
    <t>QEDBB20PBSD</t>
  </si>
  <si>
    <t>D/Barmes Sand Vins de Terroir</t>
  </si>
  <si>
    <t>QEGRA19CMR</t>
  </si>
  <si>
    <t>Grace Cuvee Misawa Rouge 2019</t>
  </si>
  <si>
    <t>QEWES12RDLCMAL</t>
  </si>
  <si>
    <t>W/lands Malbec Reserve de la Cave 2012</t>
  </si>
  <si>
    <t>QEDC21MSLCR</t>
  </si>
  <si>
    <t>Maranges 'Sur le Chene' Rouge 2021</t>
  </si>
  <si>
    <t>QEGRA14CS</t>
  </si>
  <si>
    <t>Grace Cab Sauv Cuvee Misawa 2014</t>
  </si>
  <si>
    <t>QEGRA12KOAK</t>
  </si>
  <si>
    <t>Grace Koshu Akeno Vineyard Cuve Misawa 2012</t>
  </si>
  <si>
    <t>QEJS17MORMAG</t>
  </si>
  <si>
    <t>Jul Sunier Morgon Cru Beauj MAGNUM</t>
  </si>
  <si>
    <t>QECC14BR</t>
  </si>
  <si>
    <t>Ch Canadel Bandol Rouge 6Pk</t>
  </si>
  <si>
    <t>QEGRA20CMBL</t>
  </si>
  <si>
    <t>Grace Cuvee Misawa Blanc 2020</t>
  </si>
  <si>
    <t>QEGRA23ROSE</t>
  </si>
  <si>
    <t>Grace Rose 2023</t>
  </si>
  <si>
    <t>QEDBB07GGCSVT</t>
  </si>
  <si>
    <t>Barmes Buecher Gewurz Stein Vend Tard 500ml</t>
  </si>
  <si>
    <t>QEDRJ21BB</t>
  </si>
  <si>
    <t>Dom Remi Jobard Bourgogne Blanc 2021</t>
  </si>
  <si>
    <t>QEKF15PNMAR</t>
  </si>
  <si>
    <t>Kelley Fox Pinot Noir Mareshi Maresh Vineyard</t>
  </si>
  <si>
    <t>QEFRE23FNO</t>
  </si>
  <si>
    <t>Freeman Fiano Altura Vineyard 23 6 pk</t>
  </si>
  <si>
    <t>QETC19PR</t>
  </si>
  <si>
    <t>Tablas Creek Vineyard Panoplie Rouge 2019</t>
  </si>
  <si>
    <t>QELS19XITC6</t>
  </si>
  <si>
    <t>Luis Seabra Xisto Ilimitado Tinto</t>
  </si>
  <si>
    <t>QEWF18SH</t>
  </si>
  <si>
    <t>Watson Family Classic Shiraz 2018</t>
  </si>
  <si>
    <t>QEVNT21SH</t>
  </si>
  <si>
    <t>Vinteloper (White Label) Shiraz 2021</t>
  </si>
  <si>
    <t>QEDC21SVVR</t>
  </si>
  <si>
    <t>Dom CHEVROT et Fils Santenay Vieilles Vignes Rge 21</t>
  </si>
  <si>
    <t>QEWES14CSMAT6LT</t>
  </si>
  <si>
    <t>Wood Cab Sauv Mathew 6LT 6Lt Wooden Box</t>
  </si>
  <si>
    <t>QECDLR22ROSE</t>
  </si>
  <si>
    <t>Chateau de la Roche Rose Grolleau Cuvee L'Eclat 22</t>
  </si>
  <si>
    <t>QECRODNRP-C6</t>
  </si>
  <si>
    <t>Croft Distinction Reserve Port</t>
  </si>
  <si>
    <t>QEDRJ22MLG</t>
  </si>
  <si>
    <t>Domaine Remi Jobard Meursault Les Genevrieres</t>
  </si>
  <si>
    <t>QEWES19CMMARG</t>
  </si>
  <si>
    <t>WOODLANDS CABERNET MERLOT MAL RESERVE MARGARET 19</t>
  </si>
  <si>
    <t>QEWES21CFRDLC</t>
  </si>
  <si>
    <t>Woodland Cab Franc Reserve DLC Res de la Cave 2021</t>
  </si>
  <si>
    <t>QEDRJ22MLPD</t>
  </si>
  <si>
    <t>Domaine Remi Jobard Meursault le Poruzot Dessus 22</t>
  </si>
  <si>
    <t>QEGTFCIDER375</t>
  </si>
  <si>
    <t>George the Fox Apple Cider Apple Cider</t>
  </si>
  <si>
    <t>QEMF22CHB14</t>
  </si>
  <si>
    <t>2022 Mayfield Block 14 Chardonnay Block 14</t>
  </si>
  <si>
    <t>QECSA19RCDP</t>
  </si>
  <si>
    <t>Chateau Ste Anne CDP Rouge 12 pack 2019</t>
  </si>
  <si>
    <t>QEWES14CMMG6LT</t>
  </si>
  <si>
    <t>Wood Cab Mer Malbec RES 6LT Margaret 6Lt Wooden Box</t>
  </si>
  <si>
    <t>QEWES19CFRDLC</t>
  </si>
  <si>
    <t>Woodland Cab Franc Reserve DLC Reserve de la Cave</t>
  </si>
  <si>
    <t>QEDRJ18VLS</t>
  </si>
  <si>
    <t>Domaine Remi Jobard Volnay Les Santenots</t>
  </si>
  <si>
    <t>QEPW20NTBB</t>
  </si>
  <si>
    <t>Pato Wouters Noosa Tola Bical</t>
  </si>
  <si>
    <t>QEJS22REG</t>
  </si>
  <si>
    <t>Jul Sunier Rugniu Cru Beaujolais 2022</t>
  </si>
  <si>
    <t>QEDRJ21BBVV</t>
  </si>
  <si>
    <t>Domaine Remi Jobard Bourgogne Vieilles Vignes 2021</t>
  </si>
  <si>
    <t>QEJS18FLMAG</t>
  </si>
  <si>
    <t>JSunier Fleurie Cru Beaujolais 2018 6pk MAGNUM</t>
  </si>
  <si>
    <t>QELS16IXTC6</t>
  </si>
  <si>
    <t>Luis Seabra Indie Xisto Tinto</t>
  </si>
  <si>
    <t>QETC22PDTR</t>
  </si>
  <si>
    <t>Tablas Creek Patelin de Tablas Rouge 2022</t>
  </si>
  <si>
    <t>QEJS21MOR</t>
  </si>
  <si>
    <t>Jul Sunier Morgon Cru Beauj 2021</t>
  </si>
  <si>
    <t>QEDBB21PBSD</t>
  </si>
  <si>
    <t>D/Barmes Sand Vins de Terroir 2021</t>
  </si>
  <si>
    <t>QEGRA21YGR</t>
  </si>
  <si>
    <t>Grace Yamanashi de Grace Rouge 2021</t>
  </si>
  <si>
    <t>QEWES22MALRDLC</t>
  </si>
  <si>
    <t>Wlands Malbec Reserve de la Cave 2022</t>
  </si>
  <si>
    <t>QEDBB21REROS</t>
  </si>
  <si>
    <t>D/Barmes Riesling Rosenberg Vins Terroir 2021</t>
  </si>
  <si>
    <t>QEKF16PG</t>
  </si>
  <si>
    <t>Kelley Fox Pinot Gris Maresh Vineyard</t>
  </si>
  <si>
    <t>QEVNT23PN</t>
  </si>
  <si>
    <t>Vinteloper (White Label) Pinot Noir 2023</t>
  </si>
  <si>
    <t>QEDC19SCRR</t>
  </si>
  <si>
    <t>Santenay 1er Cru "Clos Rousseau" Rouge 2019</t>
  </si>
  <si>
    <t>QETC14EDTRD</t>
  </si>
  <si>
    <t>TC Esprit de Tablas Rouge</t>
  </si>
  <si>
    <t>QEFRE19DOL-C6</t>
  </si>
  <si>
    <t>Freeman Dolcino 2019 500ml</t>
  </si>
  <si>
    <t>QEMF22PNWM</t>
  </si>
  <si>
    <t>2022 Mayfield William Pinot Noir William</t>
  </si>
  <si>
    <t>QEHF22BVSG</t>
  </si>
  <si>
    <t>Hayes Family BV Grenache Sam's 2022</t>
  </si>
  <si>
    <t>QEAM19BR</t>
  </si>
  <si>
    <t>Antonio Madeira Dao Branco</t>
  </si>
  <si>
    <t>QECRO09VP750</t>
  </si>
  <si>
    <t>Croft Vintage Port 2009 750ml</t>
  </si>
  <si>
    <t>QEJS17MORLC</t>
  </si>
  <si>
    <t>Jul Sunier Morgon Les Charmes Cru Beaujolais</t>
  </si>
  <si>
    <t>QEAM19VST</t>
  </si>
  <si>
    <t>Antonio Madeira Dao Vinha da Serra Tinto</t>
  </si>
  <si>
    <t>QEWES20CFRDLC</t>
  </si>
  <si>
    <t>QEWES22CHBV</t>
  </si>
  <si>
    <t>Woodlands Chard Brook V/yard 2022 12 pack</t>
  </si>
  <si>
    <t>QECRO07VPMAG</t>
  </si>
  <si>
    <t>Croft Vintage Port 2007 1500ml</t>
  </si>
  <si>
    <t>QEDC21SCRR</t>
  </si>
  <si>
    <t>Santenay 1er Cru 'Clos Rousseau' Rouge 2021</t>
  </si>
  <si>
    <t>QEHER11ZWE</t>
  </si>
  <si>
    <t>H/Herzogg Zweigelt 2011</t>
  </si>
  <si>
    <t>QECF22CAT</t>
  </si>
  <si>
    <t>Casal Figueira Castelao Tinto 2022</t>
  </si>
  <si>
    <t>QELS22GCAC6</t>
  </si>
  <si>
    <t>Luis Seabra Granito Cru Alva rinho 2022 C6</t>
  </si>
  <si>
    <t>QECHDZBRCL-C6</t>
  </si>
  <si>
    <t>Champagne/D Brut Classic NV</t>
  </si>
  <si>
    <t>QECRO11VP750</t>
  </si>
  <si>
    <t>Croft Vintage Port 2011 750ml</t>
  </si>
  <si>
    <t>QEKF14PNMARB</t>
  </si>
  <si>
    <t>Maresh Vy Red Barn Blocks Kelley Fox Pinot Noir</t>
  </si>
  <si>
    <t>QEWES14CSMAT3LT</t>
  </si>
  <si>
    <t>Wood Cab Sauv Mathew 3LT 3Lt Wooden Box</t>
  </si>
  <si>
    <t>QEWES18CSXMAG</t>
  </si>
  <si>
    <t>Woodlands Cabernet Sauvignon Magnum XAVIER</t>
  </si>
  <si>
    <t>QELS21XCT</t>
  </si>
  <si>
    <t>Luis Seabra Xisto Cru Tinto 6pk 2021</t>
  </si>
  <si>
    <t>QEJS21FL</t>
  </si>
  <si>
    <t>JSunier Fleurie Cru Beaujolais 2021 12 pack</t>
  </si>
  <si>
    <t>QEDRJ22MLECH</t>
  </si>
  <si>
    <t>Domaine Remi Jobard Meursault Les Charmes 2022</t>
  </si>
  <si>
    <t>QEGRA20TOSVKO</t>
  </si>
  <si>
    <t>Grace Koshu Toriibira Single Vineyard 2020</t>
  </si>
  <si>
    <t>QEDBB21PBROS</t>
  </si>
  <si>
    <t>D/Barmes Buecher Pinot Blanc Rosenberg 2021</t>
  </si>
  <si>
    <t>QEDRJ22BBVV</t>
  </si>
  <si>
    <t>Domaine Remi Jobard Bourgogne Vieilles Vignes 2022</t>
  </si>
  <si>
    <t>QEWF22RO</t>
  </si>
  <si>
    <t>Watson Family Classic Rose Sangiovese 2022</t>
  </si>
  <si>
    <t>QEDCY18MC</t>
  </si>
  <si>
    <t>DomChasselay Cru du Beaujolais Morgon Corcelette</t>
  </si>
  <si>
    <t>QEKF21PNCV</t>
  </si>
  <si>
    <t>Kelley Fox Pinot Noir Carter Vineyard 21</t>
  </si>
  <si>
    <t>QEWES16MALRDLCWBC6</t>
  </si>
  <si>
    <t>Wdlands MalbecRese de la Cave WBC6</t>
  </si>
  <si>
    <t>QEFRE24FMT</t>
  </si>
  <si>
    <t>2024 Freeman Furmint Altura Vineyard</t>
  </si>
  <si>
    <t>QEWES17CMMARG375ML</t>
  </si>
  <si>
    <t>Wood Cab Mer Malbec RES 375ML Margaret 375ml</t>
  </si>
  <si>
    <t>QEGRA20CMR</t>
  </si>
  <si>
    <t>Grace Cuvee Misawa Rouge 2020</t>
  </si>
  <si>
    <t>QEPW22NTBB</t>
  </si>
  <si>
    <t>Pato Wouters Noosa Tola Bical 2022</t>
  </si>
  <si>
    <t>QEWES14CMMG3LT</t>
  </si>
  <si>
    <t>Wood Cab Mer Malbec RES 3LT Margaret 3Lt Wooden Box</t>
  </si>
  <si>
    <t>QEGRA15CMR</t>
  </si>
  <si>
    <t>Grace Cuvee Misawa Rouge 2015</t>
  </si>
  <si>
    <t>QEWES17CSCA375</t>
  </si>
  <si>
    <t>Woodlands Cabernet Sauvignon Chloe Anne</t>
  </si>
  <si>
    <t>QEGRA21TOSVKO</t>
  </si>
  <si>
    <t>Grace Koshu Toriibira Single Vineyard 2021</t>
  </si>
  <si>
    <t>QECHDZ08ADDGB-C6</t>
  </si>
  <si>
    <t>Champagne/D Amour de Deutz Vintage 2008</t>
  </si>
  <si>
    <t>QEDC21BAT</t>
  </si>
  <si>
    <t>Dom CHEVROT et Fils Bourgogne Aligote Tilleul Blc 21</t>
  </si>
  <si>
    <t>QEJS18MORMAG</t>
  </si>
  <si>
    <t>QEGRA21KMV</t>
  </si>
  <si>
    <t>Grace Koshu Misawa Vineyard Akeno 2021 C6</t>
  </si>
  <si>
    <t>QEHIG15ME-C6</t>
  </si>
  <si>
    <t>H/bank Basket Press 2015 Merlot "Single V/yard"</t>
  </si>
  <si>
    <t>QELS20XCBMAG</t>
  </si>
  <si>
    <t>Luis Seabra Xisto Cru Branco Mag Wooden 1PK</t>
  </si>
  <si>
    <t>QERIP19PNLLB</t>
  </si>
  <si>
    <t>Rippon Pinot Noir Lolo's Block</t>
  </si>
  <si>
    <t>QEAM21BR</t>
  </si>
  <si>
    <t>Antonio Madeira Dao Branco 2021</t>
  </si>
  <si>
    <t>QEHF21EB1S</t>
  </si>
  <si>
    <t>Hayes Family Estate Shiraz Block 1 2021</t>
  </si>
  <si>
    <t>QELS22XCBMAG</t>
  </si>
  <si>
    <t>Luis Seabra Xisto Cru Branco Mag Wooden 1PK 2022</t>
  </si>
  <si>
    <t>QEDRJ19MLVR</t>
  </si>
  <si>
    <t>Domaine Remi Jobard Monthelie Les Vignes Rondes</t>
  </si>
  <si>
    <t>QEPW23PQBT</t>
  </si>
  <si>
    <t>Pato Wouters Post Quer Baga Tinto 2023</t>
  </si>
  <si>
    <t>QEWF17NEB</t>
  </si>
  <si>
    <t>Watson Family Single Vineyard Nebbiolo 2017</t>
  </si>
  <si>
    <t>QEHF21ERS</t>
  </si>
  <si>
    <t>Hayes Family Reserve Shiraz Reserve 2021</t>
  </si>
  <si>
    <t>QEMF22CB</t>
  </si>
  <si>
    <t>2022 Mayfield Cabernet Blend Three Boys</t>
  </si>
  <si>
    <t>QEHF21SVKG</t>
  </si>
  <si>
    <t>Hayes Family SV Grenache Koonunga 2021</t>
  </si>
  <si>
    <t>QEWES14CSMATMAG</t>
  </si>
  <si>
    <t>Woodlands Cab Sauv Matthew MAGNUM</t>
  </si>
  <si>
    <t>QEVNT23PWW</t>
  </si>
  <si>
    <t>Vinteloper (White Label) Park Wine White 2023</t>
  </si>
  <si>
    <t>QEJS18REG</t>
  </si>
  <si>
    <t>Jul Sunier Rugniu Cru Beaujolais</t>
  </si>
  <si>
    <t>QECHDZ96CWDRO-C6</t>
  </si>
  <si>
    <t>Champagne Deutz Cuvee William Deutz Rose 1996 Cellar Release</t>
  </si>
  <si>
    <t>QEDBB20RELEI</t>
  </si>
  <si>
    <t>D/Barmes Buecher Riesling Liementhal 1er Cru 2020</t>
  </si>
  <si>
    <t>QERIP19PNEMB</t>
  </si>
  <si>
    <t>Rippon Pinot Noir Emma's Block Mature Vine 2019</t>
  </si>
  <si>
    <t>QEPW23DNMCBB</t>
  </si>
  <si>
    <t>Pato Wouters D.N.M.C Bical Branco 2023</t>
  </si>
  <si>
    <t>QEWF23CH</t>
  </si>
  <si>
    <t>Watson Family Classic Chardonnay 23</t>
  </si>
  <si>
    <t>QEHER13SBGD</t>
  </si>
  <si>
    <t>HERZOG SAUVIGNON BLANC GRAND DUCHESSE 2013</t>
  </si>
  <si>
    <t>QELS21XCTMAG</t>
  </si>
  <si>
    <t>Luis Seabra Xisto Cru Tinto Mag Wooden 1pk 2021</t>
  </si>
  <si>
    <t>QERIP13PNTFBQ-C6MUS</t>
  </si>
  <si>
    <t>2013 Rip Pinot Noir Tinklers Field Bequest MV 6pk-MUS</t>
  </si>
  <si>
    <t>QEJS22FL</t>
  </si>
  <si>
    <t>JSunier Fleurie Cru Beaujolais 2022 12pk</t>
  </si>
  <si>
    <t>QECR19IT</t>
  </si>
  <si>
    <t>Carlos Raposo Ideal Tinto 2019</t>
  </si>
  <si>
    <t>QEDBB19PBROS</t>
  </si>
  <si>
    <t>D/Barmes Buecher Pinot Blanc Rosenberg 2019</t>
  </si>
  <si>
    <t>QEKF14PNMAR</t>
  </si>
  <si>
    <t>Kelly Fox Maresh Vy 14</t>
  </si>
  <si>
    <t>QEDDS20JMS</t>
  </si>
  <si>
    <t>Dom de Souch Juranpon Monp Sec</t>
  </si>
  <si>
    <t>QECSA16BRG</t>
  </si>
  <si>
    <t>Chateau Ste Anne AOC Bandol Rouge 12pk 2016</t>
  </si>
  <si>
    <t>QEAVG22BR</t>
  </si>
  <si>
    <t>Adega Viuva Gomes Malvasia Branco 2022 6pk</t>
  </si>
  <si>
    <t>QEJS18REGMAG</t>
  </si>
  <si>
    <t>Jul Sunier Rugniu Cru Beauj MAGNUM</t>
  </si>
  <si>
    <t>QEWES17CSCAMAG</t>
  </si>
  <si>
    <t>Woodlands Cab Sauv Chloe Anne Mag 2017</t>
  </si>
  <si>
    <t>QEGRA23KOPR</t>
  </si>
  <si>
    <t>Grace Koshu Toriibira Vineyard Private Reserve 2023</t>
  </si>
  <si>
    <t>QEDDS20JCD</t>
  </si>
  <si>
    <t>Dom de Souch Jura Cuvee Domaine 2020</t>
  </si>
  <si>
    <t>QEDRJ21MLVR</t>
  </si>
  <si>
    <t>Domaine Remi Jobard Monthelie Les Vignes Rondes 21</t>
  </si>
  <si>
    <t>QELS21XCBMAG</t>
  </si>
  <si>
    <t>Luis Seabra Xisto Cru Branco Mag Wooden 1PK 2021</t>
  </si>
  <si>
    <t>QELS22GCAMAG</t>
  </si>
  <si>
    <t>LSeabra Granito Cru Alvarinho Magnum Wooden 22 1pk</t>
  </si>
  <si>
    <t>QEWES21MALRDLC</t>
  </si>
  <si>
    <t>Wlands Malbec Reserve de la Cave 2021</t>
  </si>
  <si>
    <t>QEHF21SVSS</t>
  </si>
  <si>
    <t>Hayes Family SV Semillon Schulz 2021</t>
  </si>
  <si>
    <t>QERIP10PNTFMUS</t>
  </si>
  <si>
    <t>Rippon Pinot Noir Tinker Field Mature Vine 2010-MUS</t>
  </si>
  <si>
    <t>QEFRE22NEB</t>
  </si>
  <si>
    <t>2022 Freeman Nebbiolo Altura Vineyard</t>
  </si>
  <si>
    <t>QEDDS14MVT500C6</t>
  </si>
  <si>
    <t>Dom de Souch Jura Vend Tardive 500ml</t>
  </si>
  <si>
    <t>QERIP11PNTF</t>
  </si>
  <si>
    <t>Rippon Pinot Noir Tinker Field Mature Vine 2011</t>
  </si>
  <si>
    <t>QEWES18CFRDLC</t>
  </si>
  <si>
    <t>QEPRO06NEB-C6</t>
  </si>
  <si>
    <t>Protero Nebbiolo 2006</t>
  </si>
  <si>
    <t>QERIP22GEW</t>
  </si>
  <si>
    <t>22 Rippon Gewurztraminer</t>
  </si>
  <si>
    <t>QEWES12CSTMAG</t>
  </si>
  <si>
    <t>W/lands Cab Sauv Thomas 2012 Mag 3Pck 1500ML</t>
  </si>
  <si>
    <t>QEDC18BP</t>
  </si>
  <si>
    <t>Domaine CHEVROT et Fils Bourguignons Pivoine</t>
  </si>
  <si>
    <t>QEDC17BAT</t>
  </si>
  <si>
    <t>Dom CHEVROT et Fils Bourgogne Aligote Tilleul Blanc</t>
  </si>
  <si>
    <t>QEJS18FL</t>
  </si>
  <si>
    <t>JSunier Fleurie Cru Beaujolais 2018 12 pack</t>
  </si>
  <si>
    <t>QEWES22CFRDLC</t>
  </si>
  <si>
    <t>Woodland Cab Franc Reserve DLC Res de la Cave 2022</t>
  </si>
  <si>
    <t>QEDRJ22BA</t>
  </si>
  <si>
    <t>Domaine Remi Jobard Bourgogne Aligote 2022</t>
  </si>
  <si>
    <t>QERIP12PNEMBMUS</t>
  </si>
  <si>
    <t>Rippon Pinot Noir Emma's Block Mature Vine 2012-MUS</t>
  </si>
  <si>
    <t>QEWES16CFRDLCWBC6</t>
  </si>
  <si>
    <t>Wlands Cab FrancRes de la Cave WBC6</t>
  </si>
  <si>
    <t>QEDM22CNDPR</t>
  </si>
  <si>
    <t>Domaine Mayard Chateauneuf-du-Pape Rouge 2022</t>
  </si>
  <si>
    <t>QECA18CH</t>
  </si>
  <si>
    <t>Caledonia Australis Chardonnay 2018</t>
  </si>
  <si>
    <t>QEPW21NCB</t>
  </si>
  <si>
    <t>Pato&amp;Wouters Nossa Calcario Bical Branco 2021</t>
  </si>
  <si>
    <t>QEGRA21KOHISH</t>
  </si>
  <si>
    <t>Grace Koshu Hishiyama Vineyard 2021</t>
  </si>
  <si>
    <t>QEKF21PNMIR</t>
  </si>
  <si>
    <t>Kelley Fox Pinot Noir Mirabai 21</t>
  </si>
  <si>
    <t>QEDRJ22MEL</t>
  </si>
  <si>
    <t>Domaine Remi Jobard Meursault en Luraule 2022</t>
  </si>
  <si>
    <t>QEJS18MOR</t>
  </si>
  <si>
    <t>Jul Sunier Morgon Cru Beauj</t>
  </si>
  <si>
    <t>QEWES12RDLCCABF</t>
  </si>
  <si>
    <t>W/lands Cabernet Franc Reserve de la Cave 2012</t>
  </si>
  <si>
    <t>QECR19DT</t>
  </si>
  <si>
    <t>Carlos Raposo Definido Tinto 2019</t>
  </si>
  <si>
    <t>QEDDS15JSA</t>
  </si>
  <si>
    <t>Domaine de Souch Jurancon Sec Antoine</t>
  </si>
  <si>
    <t>QEHF21SH</t>
  </si>
  <si>
    <t>Hayes Family RS Shiraz Regional Series 2021</t>
  </si>
  <si>
    <t>QECDLR18PNCB</t>
  </si>
  <si>
    <t>Ch de la Roche Pet Chenin Blanc</t>
  </si>
  <si>
    <t>QEDBB20GWHGC</t>
  </si>
  <si>
    <t>D.Barmes-Buecher Gewurztraminer Grand Cru Hengst 20</t>
  </si>
  <si>
    <t>QEWES13PNRDLC</t>
  </si>
  <si>
    <t>Woodlands Pinot Noir Reserve de la Cave 2013</t>
  </si>
  <si>
    <t>QEAM20VVB</t>
  </si>
  <si>
    <t>Antonio Madeira Dao Vinhas Velhas Branco</t>
  </si>
  <si>
    <t>QEMF23RO</t>
  </si>
  <si>
    <t>2023 Mayfield Rose Five Rows</t>
  </si>
  <si>
    <t>QETC19EDTBL</t>
  </si>
  <si>
    <t>TC  Esprit de Tablas Blc 2019</t>
  </si>
  <si>
    <t>QEAM21ALB</t>
  </si>
  <si>
    <t>Antonio Madeira Dao A Liberdade Branco 2021</t>
  </si>
  <si>
    <t>QEDDS18JMS</t>
  </si>
  <si>
    <t>QEDRJ22BB</t>
  </si>
  <si>
    <t>Dom Remi Jobard Bourgogne Blanc 2022</t>
  </si>
  <si>
    <t>QEFRE18SECCO</t>
  </si>
  <si>
    <t>Freeman Rondinella Corvina Secco 12pk 2018</t>
  </si>
  <si>
    <t>QERIP22RE</t>
  </si>
  <si>
    <t>Rippon Riesling Mature Vine 2022 - 12PK</t>
  </si>
  <si>
    <t>QEFRE12SECCO</t>
  </si>
  <si>
    <t>Freeman Rondinella Corvina Secco 12pack</t>
  </si>
  <si>
    <t>QERIP16PNEMB</t>
  </si>
  <si>
    <t>Rippon Pinot Noir Emma's Block Mature Vine 2016</t>
  </si>
  <si>
    <t>QELS22GCD</t>
  </si>
  <si>
    <t>Luis Seabra Granito Cru Dao 2022</t>
  </si>
  <si>
    <t>QECSA23RO</t>
  </si>
  <si>
    <t>23 Chateau Ste Anne CDP Rose 12 pack</t>
  </si>
  <si>
    <t>QECHDZ00CWDRO-C6</t>
  </si>
  <si>
    <t>Champagne Cuvee Deutz William Rose 2000</t>
  </si>
  <si>
    <t>QEDDS15MK</t>
  </si>
  <si>
    <t>Domaine de Souch Juranþon Moelleux Barrique Marie Kattalin 2015 500ml</t>
  </si>
  <si>
    <t>QELS19IXTC6</t>
  </si>
  <si>
    <t>QEVNT22ARB</t>
  </si>
  <si>
    <t>Vinteloper (White Label) Adelo GSMT 2022</t>
  </si>
  <si>
    <t>QEPW23RRR</t>
  </si>
  <si>
    <t>Pato &amp; Wouters Roleta Russa Rose 2023</t>
  </si>
  <si>
    <t>QEGRA22KOPR</t>
  </si>
  <si>
    <t>Grace Koshu Toriibira Vineyard Private Reserve 22</t>
  </si>
  <si>
    <t>QELS18IXTC6</t>
  </si>
  <si>
    <t>QEJS21REG</t>
  </si>
  <si>
    <t>Jul Sunier Rugniu Cru Beaujolais 2021</t>
  </si>
  <si>
    <t>QEKF21PNFH</t>
  </si>
  <si>
    <t>Kelley Fox Pinot Noir Freedom Hill 21</t>
  </si>
  <si>
    <t>QETC14EDTBL</t>
  </si>
  <si>
    <t>TC  Esprit de Tablas Blc</t>
  </si>
  <si>
    <t>QEGRA23KOHISH</t>
  </si>
  <si>
    <t>Grace Koshu Hishiyama Vineyard 2023</t>
  </si>
  <si>
    <t>QEHF21EB9S</t>
  </si>
  <si>
    <t>Hayes Family Estate Shiraz Block 9 2021</t>
  </si>
  <si>
    <t>QECR20DB</t>
  </si>
  <si>
    <t>Carlos Raposo Definido Branco 2020</t>
  </si>
  <si>
    <t>QEDDS16JS</t>
  </si>
  <si>
    <t>QEGRA21ARGE</t>
  </si>
  <si>
    <t>Grace Akeno Rouge 2021</t>
  </si>
  <si>
    <t>QEHF22VSSG</t>
  </si>
  <si>
    <t>Hayes Family VS Grenache Smart 2022 6pk</t>
  </si>
  <si>
    <t>QECSA22BRO</t>
  </si>
  <si>
    <t>Chateau Ste Anne AOC Bandol Rose 12pk 2022</t>
  </si>
  <si>
    <t>QERIP22GMY</t>
  </si>
  <si>
    <t>Rippon Gamay 22 12 pack</t>
  </si>
  <si>
    <t>QEDRJ22MSLV</t>
  </si>
  <si>
    <t>D Remi Jobard Meursault Sous la Velle 2022</t>
  </si>
  <si>
    <t>QEMF23CF</t>
  </si>
  <si>
    <t>Mayfield Estate Cabernet Franc 2023</t>
  </si>
  <si>
    <t>QELS21MATC6</t>
  </si>
  <si>
    <t>Luis Seabra Mono A Tinto Dao 2021</t>
  </si>
  <si>
    <t>QEAM22VVB</t>
  </si>
  <si>
    <t>Antonio Madeira Dao Vinhas Velhas Branco 22</t>
  </si>
  <si>
    <t>QECHDZ90BRCR</t>
  </si>
  <si>
    <t>Champagne Deutz Brut Vintage 1990 Cellar 3pck</t>
  </si>
  <si>
    <t>QEKF15PNMARB</t>
  </si>
  <si>
    <t>Kelley Fox Pinot Noir Maresh Red Barn Blocks</t>
  </si>
  <si>
    <t>QECA15ANC</t>
  </si>
  <si>
    <t>Caledonia Australis Methode Ancestral Chardonnay Pinot Noir 2015 C6</t>
  </si>
  <si>
    <t>QERIP19RELL</t>
  </si>
  <si>
    <t>Rippon Riesling Lolo's Block</t>
  </si>
  <si>
    <t>QEAM21VVT</t>
  </si>
  <si>
    <t>Antonio Madeira Dao Vinhas Velhas Tinto 21</t>
  </si>
  <si>
    <t>QEWES13RDLCMAL</t>
  </si>
  <si>
    <t>2013 W/LANDS RES DE LA CAVE MALBEC 12PK</t>
  </si>
  <si>
    <t>QEFREPNROND</t>
  </si>
  <si>
    <t>Freeman Pet Nat Rondinella NV</t>
  </si>
  <si>
    <t>QEGRASNV</t>
  </si>
  <si>
    <t>Grace Shugoro NV Fortified</t>
  </si>
  <si>
    <t>QEAM19APT</t>
  </si>
  <si>
    <t>QERIP20PNEMB</t>
  </si>
  <si>
    <t>Rippon Pinot Noir Emma's Block Mature Vine 2020 - 12PK</t>
  </si>
  <si>
    <t>QEPWNVB3RO</t>
  </si>
  <si>
    <t>Pato &amp; Wouters B3 Rose Brut Nature NV</t>
  </si>
  <si>
    <t>QEWF18SHWB</t>
  </si>
  <si>
    <t>Watson Family Single Vineyard Whole Bunch Shiraz</t>
  </si>
  <si>
    <t>QEFRE07SECCO</t>
  </si>
  <si>
    <t>Freeman Rondinella Corvina Secco 6pk 2007</t>
  </si>
  <si>
    <t>QELS18MC</t>
  </si>
  <si>
    <t>Luis Seabra Mono C Tinto</t>
  </si>
  <si>
    <t>QEGRA21KOPR</t>
  </si>
  <si>
    <t>Grace Koshu Toriibira Vineyard Private Reserve 2021</t>
  </si>
  <si>
    <t>QERIP18PNTF</t>
  </si>
  <si>
    <t>Rippon Pinot Noir Tinker Field Mature Vine 2018</t>
  </si>
  <si>
    <t>QEFREPNPRO</t>
  </si>
  <si>
    <t>Freeman Pet Nat Prosecco NV</t>
  </si>
  <si>
    <t>QEGRA20ARGE</t>
  </si>
  <si>
    <t>Grace Akeno Rouge</t>
  </si>
  <si>
    <t>QECHDZ07ADDZRGB</t>
  </si>
  <si>
    <t>Champagne/D Amour Rose de Deutz Vintage 2007</t>
  </si>
  <si>
    <t>QECHDZ10BRROSE-C6</t>
  </si>
  <si>
    <t>Champagne Deutz Brut Rose Vintage 2010 6pck Gift Box</t>
  </si>
  <si>
    <t>QELS20IXTC6</t>
  </si>
  <si>
    <t>Luis Seabra Indie Xisto Tinto 2020</t>
  </si>
  <si>
    <t>QEDRJ22VLS</t>
  </si>
  <si>
    <t>Domaine Remi Jobard Volnay Les Santenots 2022</t>
  </si>
  <si>
    <t>QEFRE23SH</t>
  </si>
  <si>
    <t>Freeman Shz Altura Vineyards 2023 12pack</t>
  </si>
  <si>
    <t>QECSA20BRCC</t>
  </si>
  <si>
    <t>ChateauSteAnneAOC Bandol Rouge Cuvee Collection 20</t>
  </si>
  <si>
    <t>QEFRE22SAN</t>
  </si>
  <si>
    <t>Freeman Sangiovese AlturaVyard 12pack 2022</t>
  </si>
  <si>
    <t>QECSA16RCDP</t>
  </si>
  <si>
    <t>Chateau Ste Anne CDP Rouge 12 pack</t>
  </si>
  <si>
    <t>QEDBB19RECS</t>
  </si>
  <si>
    <t>D/Barmes Buecher Riesling Clos Sand 1er Cru 2019</t>
  </si>
  <si>
    <t>QEWES18CMMARGMAG</t>
  </si>
  <si>
    <t>Woodlands Margaret Reserve Magnum</t>
  </si>
  <si>
    <t>QEDBB18RELEI</t>
  </si>
  <si>
    <t>D/Barmes Buecher Riesling Liementhal 1er Cru 2018</t>
  </si>
  <si>
    <t>QEGRA21CMBL</t>
  </si>
  <si>
    <t>Grace Cuvee Misawa Blanc 2021</t>
  </si>
  <si>
    <t>QEAM21PAT</t>
  </si>
  <si>
    <t>Antonio Madeira Dao Palhete Ainda</t>
  </si>
  <si>
    <t>QEHF21SVGG</t>
  </si>
  <si>
    <t>Hayes Family SV Grenache Glengrae 2021</t>
  </si>
  <si>
    <t>QEAM17VVT</t>
  </si>
  <si>
    <t>Antonio Madeira Dao Vinhas Velhas Tinto</t>
  </si>
  <si>
    <t>QECHDZ88BRMAG-C3</t>
  </si>
  <si>
    <t>Champagne Deutz Brut Vintage 1988 Cellar Release 3pck Mag</t>
  </si>
  <si>
    <t>QEPW22NCBT</t>
  </si>
  <si>
    <t>Pato Wouters Nossa Cal Baga Tinto 2022</t>
  </si>
  <si>
    <t>QEPW23NCB</t>
  </si>
  <si>
    <t>Pato&amp;Wouters Nossa Calcario Bical Branco 2023</t>
  </si>
  <si>
    <t>QEVNT22CH</t>
  </si>
  <si>
    <t>Vinteloper (White Label) Chardonnay 2022</t>
  </si>
  <si>
    <t>QECDLR22CB</t>
  </si>
  <si>
    <t>Cuvee Colette Chen Blanc Cuvee L'Espirit Amphora 22</t>
  </si>
  <si>
    <t>QEHF21SVFS</t>
  </si>
  <si>
    <t>Hayes Family SV Semillon Fromm 2021</t>
  </si>
  <si>
    <t>QEJS17REG</t>
  </si>
  <si>
    <t>Jul Sunier RÚgniÚ Cru Beaujolais</t>
  </si>
  <si>
    <t>QEJS22MOR</t>
  </si>
  <si>
    <t>Jul Sunier Morgon Cru Beauj 2022</t>
  </si>
  <si>
    <t>QEVNT24RE</t>
  </si>
  <si>
    <t>Vinteloper (White Label) Riesling 2024</t>
  </si>
  <si>
    <t>QEAM20VST</t>
  </si>
  <si>
    <t>Antonio Madeira Dao Vinha da Serra Tinto 2020</t>
  </si>
  <si>
    <t>QERIP19PNTF</t>
  </si>
  <si>
    <t>Rippon Pinot Noir Tinker Field Mature Vine 2019</t>
  </si>
  <si>
    <t>QEAM19OGT</t>
  </si>
  <si>
    <t>Antonio Madeira Dao Os Granitos Tinto</t>
  </si>
  <si>
    <t>QELAC15</t>
  </si>
  <si>
    <t>Lepette Apple Cider 2015 Methode Champenoise</t>
  </si>
  <si>
    <t>QELS22XCB</t>
  </si>
  <si>
    <t>Luis Seabra Xisto Cru Branco 6pk 2022</t>
  </si>
  <si>
    <t>QELS19MC</t>
  </si>
  <si>
    <t>QERIP20PNTF</t>
  </si>
  <si>
    <t>Rippon Pinot Noir Tinker Field Mature Vine 2020 - 12PK</t>
  </si>
  <si>
    <t>QEWES19CSRJ</t>
  </si>
  <si>
    <t>Woodlands Cabernet Sauvignon 2019 Ruby Jane</t>
  </si>
  <si>
    <t>QEAM19VVT</t>
  </si>
  <si>
    <t>QERIP22SB</t>
  </si>
  <si>
    <t>RIPPON SAUVIGNON BLANC 22</t>
  </si>
  <si>
    <t>QEDBB19REHGC</t>
  </si>
  <si>
    <t>D/Barmes Buecher Riesling Hengst Grand Cru 2019</t>
  </si>
  <si>
    <t>QEKF21PNWV</t>
  </si>
  <si>
    <t>Kelley Fox Pinot Noir Weber Vineyard 21</t>
  </si>
  <si>
    <t>QETC19EDTRD</t>
  </si>
  <si>
    <t>TC Esprit de Tablas Rouge 2019</t>
  </si>
  <si>
    <t>QECR20IB</t>
  </si>
  <si>
    <t>Carlos Raposo Ideal Branco 2020</t>
  </si>
  <si>
    <t>QEMF22CHTMS</t>
  </si>
  <si>
    <t>2022 Mayfield Thomas Chardonnay Thomas</t>
  </si>
  <si>
    <t>QEAM22PAT</t>
  </si>
  <si>
    <t>Antonio Madeira Dao Palhete Ainda 22</t>
  </si>
  <si>
    <t>QEHF19AVS</t>
  </si>
  <si>
    <t>Hayes Family Shiraz Ancestor Vine 2019 6pk</t>
  </si>
  <si>
    <t>QEKF21CHDV</t>
  </si>
  <si>
    <t>Kelley Fox Chardonnay Dux Vineyard 21</t>
  </si>
  <si>
    <t>QEAM20OGT</t>
  </si>
  <si>
    <t>Antonio Madeira Dao Os Granitos Tinto 2020</t>
  </si>
  <si>
    <t>QEHF18AVS</t>
  </si>
  <si>
    <t>Hayes Family Shiraz Ancestor Vine 2018</t>
  </si>
  <si>
    <t>QECF19MVT</t>
  </si>
  <si>
    <t>Casal Figueira Tinta Miuda Tinto</t>
  </si>
  <si>
    <t>QEDM23CDRR</t>
  </si>
  <si>
    <t>Domaine Mayard Cotes du Rhone Rouge 2023</t>
  </si>
  <si>
    <t>QEHF22GSM</t>
  </si>
  <si>
    <t>Hayes Family RS GSM Regional Series 2022</t>
  </si>
  <si>
    <t>QEDDS19MK</t>
  </si>
  <si>
    <t>De Souch Jurancon Moelleux Barrique MK 19</t>
  </si>
  <si>
    <t>QEHF21ES</t>
  </si>
  <si>
    <t>Hayes Family Estate Shiraz Stone Well 2021</t>
  </si>
  <si>
    <t>QEWES22EMILY</t>
  </si>
  <si>
    <t>W/lands Emily 2022 Special Reserve</t>
  </si>
  <si>
    <t>VIC</t>
  </si>
  <si>
    <t>QERIP20SB</t>
  </si>
  <si>
    <t>RIPPON SAUVIGNON BLANC 20</t>
  </si>
  <si>
    <t>QEMISCPRODUCT</t>
  </si>
  <si>
    <t>QE MIS  STOCK PRODUCT</t>
  </si>
  <si>
    <t>QECHDZ90BRROSECR</t>
  </si>
  <si>
    <t>Champagne Deutz Brut Rose Vintage 1990 3pck</t>
  </si>
  <si>
    <t>QEFRE17SECCO</t>
  </si>
  <si>
    <t>Freeman Rondinella Corvina Secco 12pk 2017</t>
  </si>
  <si>
    <t>QELS21XCB</t>
  </si>
  <si>
    <t>Luis Seabra Xisto Cru Branco 6pk 2021</t>
  </si>
  <si>
    <t>QECHDZ88BR-C6</t>
  </si>
  <si>
    <t>Champagne Deutz Brut Vintage 1988 Cellar Release 6pck</t>
  </si>
  <si>
    <t>QERIP19RE</t>
  </si>
  <si>
    <t>Rippon Riesling Mature Vine 2019</t>
  </si>
  <si>
    <t>QECHDZ07ADDZGB</t>
  </si>
  <si>
    <t>Champagne/D Amour de Deutz Vintage 2007</t>
  </si>
  <si>
    <t>QELS19XCTC3</t>
  </si>
  <si>
    <t>Luis Seabra Xisto Cru Tinto 3 PACK</t>
  </si>
  <si>
    <t>QELS20GCD</t>
  </si>
  <si>
    <t>Luis Seabra Granito Cru Dao 2020</t>
  </si>
  <si>
    <t>QECHDZ89BR-C6</t>
  </si>
  <si>
    <t>Champagne Deutz Brut Vintage 1989 Cellar 6pck</t>
  </si>
  <si>
    <t>QECRO20YRTAW-C6</t>
  </si>
  <si>
    <t>Croft 20yr Old Tawny Port</t>
  </si>
  <si>
    <t>QEAM18ACT</t>
  </si>
  <si>
    <t>Antonio Madeira Centenaria Tinto</t>
  </si>
  <si>
    <t>QECF19CAT</t>
  </si>
  <si>
    <t>Casal Figueira Castelao Tinto</t>
  </si>
  <si>
    <t>QEGRA21GDKO</t>
  </si>
  <si>
    <t>Grace Gris de Koshu 2021</t>
  </si>
  <si>
    <t>QERIP09PNTFMUS</t>
  </si>
  <si>
    <t>Rippon Pinot Noir Tinker Field Mature Vine 2009-MUS</t>
  </si>
  <si>
    <t>QERIP15GNMUS</t>
  </si>
  <si>
    <t>Rippon Gamay Noir 2015 -MUS</t>
  </si>
  <si>
    <t>QECRO09VP375</t>
  </si>
  <si>
    <t>Croft Vintage Port 2009 375ml</t>
  </si>
  <si>
    <t>QECRO11VPMAG-C3</t>
  </si>
  <si>
    <t>Croft Vintage Port 2011 1500ml</t>
  </si>
  <si>
    <t>QECHDZ96BDB-C6</t>
  </si>
  <si>
    <t>Champagne Deutz Blanc de Blanc 1996 Cellar Release 6pck</t>
  </si>
  <si>
    <t>QERIP09PNEMBMUS</t>
  </si>
  <si>
    <t>Rippon Pinot Noir Emma's Block Mature Vine 2009-MUS</t>
  </si>
  <si>
    <t>QERIP11PNTFMUS</t>
  </si>
  <si>
    <t>Rippon Pinot Noir Tinker Field Mature Vine 2011-MUS</t>
  </si>
  <si>
    <t>QEPW20PQBB</t>
  </si>
  <si>
    <t>Pato Wouters Post Quer Bical Branco</t>
  </si>
  <si>
    <t>QETC15CDTBL</t>
  </si>
  <si>
    <t>TC Cotes de Tablas Blc</t>
  </si>
  <si>
    <t>QEGRA09KOBARREL</t>
  </si>
  <si>
    <t>Grace Koshu Barrel Fermented 2009</t>
  </si>
  <si>
    <t>QA</t>
  </si>
  <si>
    <t>SHELF TEMP QA</t>
  </si>
  <si>
    <t>0104024</t>
  </si>
  <si>
    <t>QEWES20CM</t>
  </si>
  <si>
    <t>Woodlands 20 CabSauv Wilyaburp Valley-12pk</t>
  </si>
  <si>
    <t>DAMAGE</t>
  </si>
  <si>
    <t>BULK AMB QA</t>
  </si>
  <si>
    <t>DAMWHS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</si>
</sst>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59595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A9A9A9"/>
      </left>
      <right/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double">
        <color rgb="FFA9A9A9"/>
      </top>
      <bottom/>
      <diagonal/>
    </border>
    <border>
      <left style="thin">
        <color rgb="FFA9A9A9"/>
      </left>
      <right style="thin">
        <color rgb="FFA9A9A9"/>
      </right>
      <top style="double">
        <color rgb="FFA9A9A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4" fillId="0" borderId="4" xfId="0" applyFont="1" applyBorder="1" applyAlignment="1">
      <alignment horizontal="left" indent="2"/>
    </xf>
    <xf numFmtId="0" fontId="3" fillId="0" borderId="6" xfId="0" applyFont="1" applyBorder="1"/>
    <xf numFmtId="0" fontId="4" fillId="0" borderId="1" xfId="0" applyFont="1" applyBorder="1" applyAlignment="1">
      <alignment horizontal="left" indent="2"/>
    </xf>
    <xf numFmtId="0" fontId="4" fillId="0" borderId="2" xfId="0" applyFont="1" applyBorder="1"/>
    <xf numFmtId="0" fontId="3" fillId="0" borderId="0" xfId="0" applyFont="1"/>
    <xf numFmtId="0" fontId="5" fillId="0" borderId="0" xfId="1" applyFont="1"/>
    <xf numFmtId="0" fontId="6" fillId="0" borderId="0" xfId="1" applyFont="1"/>
    <xf numFmtId="0" fontId="6" fillId="0" borderId="0" xfId="1" quotePrefix="1" applyFont="1"/>
    <xf numFmtId="0" fontId="6" fillId="0" borderId="7" xfId="1" applyFont="1" applyBorder="1"/>
    <xf numFmtId="14" fontId="6" fillId="0" borderId="0" xfId="1" applyNumberFormat="1" applyFont="1" applyAlignment="1">
      <alignment horizontal="left"/>
    </xf>
    <xf numFmtId="0" fontId="6" fillId="0" borderId="8" xfId="1" applyFont="1" applyBorder="1"/>
    <xf numFmtId="0" fontId="6" fillId="0" borderId="10" xfId="1" applyFont="1" applyBorder="1"/>
    <xf numFmtId="0" fontId="6" fillId="0" borderId="12" xfId="1" applyFont="1" applyBorder="1"/>
    <xf numFmtId="0" fontId="6" fillId="0" borderId="12" xfId="1" applyFont="1" applyBorder="1" applyAlignment="1">
      <alignment wrapText="1"/>
    </xf>
    <xf numFmtId="0" fontId="6" fillId="0" borderId="12" xfId="1" applyFont="1" applyBorder="1" applyAlignment="1">
      <alignment horizontal="left"/>
    </xf>
    <xf numFmtId="0" fontId="6" fillId="0" borderId="14" xfId="1" applyFont="1" applyBorder="1"/>
    <xf numFmtId="0" fontId="4" fillId="0" borderId="3" xfId="0" quotePrefix="1" applyFont="1" applyBorder="1"/>
    <xf numFmtId="0" fontId="4" fillId="0" borderId="0" xfId="0" applyFont="1"/>
    <xf numFmtId="49" fontId="0" fillId="0" borderId="0" xfId="0" applyNumberFormat="1"/>
    <xf numFmtId="0" fontId="4" fillId="0" borderId="0" xfId="0" quotePrefix="1" applyFont="1"/>
    <xf numFmtId="0" fontId="7" fillId="0" borderId="9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49" fontId="0" fillId="2" borderId="0" xfId="0" applyNumberFormat="1" applyFill="1"/>
    <xf numFmtId="0" fontId="0" fillId="2" borderId="0" xfId="0" applyFill="1"/>
  </cellXfs>
  <cellStyles count="2">
    <cellStyle name="Normal" xfId="0" builtinId="0"/>
    <cellStyle name="Normal 2" xfId="1" xr:uid="{88BFF921-3DB0-4CAD-B1DA-8F23E28B3269}"/>
  </cellStyles>
  <dxfs count="19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theme="0" tint="-4.9989318521683403E-2"/>
        </patternFill>
      </fill>
    </dxf>
    <dxf>
      <font>
        <b/>
        <i val="0"/>
        <color theme="0" tint="-4.9989318521683403E-2"/>
      </font>
      <fill>
        <patternFill>
          <bgColor theme="9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hair">
          <color auto="1"/>
        </horizontal>
      </border>
    </dxf>
  </dxfs>
  <tableStyles count="1" defaultTableStyle="bam" defaultPivotStyle="PivotStyleLight16">
    <tableStyle name="bam" pivot="0" count="3" xr9:uid="{D2C7D9FA-C608-41A0-AE58-1E08899E7F6D}">
      <tableStyleElement type="wholeTable" dxfId="18"/>
      <tableStyleElement type="headerRow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C4F46F-BFCD-4285-8B62-50983E53ED1F}" name="Bin_Content" displayName="Bin_Content" ref="A1:F435" totalsRowCount="1">
  <autoFilter ref="A1:F434" xr:uid="{AD3CDB6A-5F39-4066-B951-789A7C9055D3}"/>
  <sortState xmlns:xlrd2="http://schemas.microsoft.com/office/spreadsheetml/2017/richdata2" ref="A2:F434">
    <sortCondition ref="B1:B434"/>
  </sortState>
  <tableColumns count="6">
    <tableColumn id="1" xr3:uid="{1C83B371-917B-4168-9188-0B60AEB50281}" name="Warehouse" totalsRowLabel="Total" dataDxfId="15"/>
    <tableColumn id="6" xr3:uid="{46F0FA36-CA87-4DBB-AA32-42292A8B9AFC}" name="Item No." dataDxfId="14"/>
    <tableColumn id="7" xr3:uid="{DE656091-FFB3-402E-8D4F-1035C57AF6CB}" name="Item - Description" dataDxfId="13"/>
    <tableColumn id="8" xr3:uid="{603A0E2D-B3B8-4032-BDE4-9B0F76123AD6}" name="Item - Description 2" dataDxfId="12"/>
    <tableColumn id="9" xr3:uid="{1CC1525E-EA48-4A3E-8757-8CDFAB6BA994}" name="Quantity" totalsRowFunction="sum" dataDxfId="11"/>
    <tableColumn id="10" xr3:uid="{E0A91592-42FA-4C58-ACCF-E185B19520EC}" name="UOM" totalsRowFunction="count" dataDxfId="10"/>
  </tableColumns>
  <tableStyleInfo name="bam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C3666-8ADD-44F9-A0DD-0A9DF402773A}" name="Bin_Content" displayName="Bin_Content_1" ref="D13:M16" totalsRowCount="1">
  <autoFilter ref="D13:M15" xr:uid="{CC3D42F6-3F25-4E6C-8D51-25509B74A639}"/>
  <tableColumns count="10">
    <tableColumn id="1" xr3:uid="{D8E87F00-7D7A-4867-8F81-97849AA75466}" name="Warehouse" totalsRowLabel="Total" dataDxfId="9"/>
    <tableColumn id="2" xr3:uid="{4D8F06F9-33B1-469C-A83E-072E79A277B1}" name="Stock Type" dataDxfId="8"/>
    <tableColumn id="3" xr3:uid="{61AE933E-8E65-4FEF-B79A-1FA648C1E558}" name="Bin Type" dataDxfId="7"/>
    <tableColumn id="4" xr3:uid="{A492FF50-671E-4E34-95B0-6AFBD39F059C}" name="Customer No." dataDxfId="6"/>
    <tableColumn id="5" xr3:uid="{A641A1A8-9221-4A33-B00F-86412C76F243}" name="Bin Code" dataDxfId="5"/>
    <tableColumn id="6" xr3:uid="{F4DA3B42-93B7-4E1E-87D5-0D0432508C71}" name="Item No." dataDxfId="4"/>
    <tableColumn id="7" xr3:uid="{CA663B40-3D30-47C1-B4DB-06D7EE46566A}" name="Item - Description" dataDxfId="3"/>
    <tableColumn id="8" xr3:uid="{63E18450-B2C1-42AB-BA01-8C8AC299E846}" name="Item - Description 2" dataDxfId="2"/>
    <tableColumn id="9" xr3:uid="{05BC7813-7D46-442C-9C38-4D44EC8AB161}" name="Quantity" totalsRowFunction="sum" dataDxfId="1"/>
    <tableColumn id="10" xr3:uid="{6BF70811-3B2F-4670-8CE1-B0D77A30DC7A}" name="UOM" totalsRowFunction="count" dataDxfId="0"/>
  </tableColumns>
  <tableStyleInfo name="bam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8501-D414-4F16-A6D1-66895BD3F369}">
  <dimension ref="A1:F435"/>
  <sheetViews>
    <sheetView tabSelected="1" topLeftCell="A34" workbookViewId="0">
      <selection activeCell="C50" sqref="C50"/>
    </sheetView>
  </sheetViews>
  <sheetFormatPr defaultRowHeight="15" x14ac:dyDescent="0.25"/>
  <cols>
    <col min="1" max="1" width="13.5703125" bestFit="1" customWidth="1"/>
    <col min="2" max="2" width="23.5703125" bestFit="1" customWidth="1"/>
    <col min="3" max="3" width="67.85546875" bestFit="1" customWidth="1"/>
    <col min="4" max="4" width="20.85546875" bestFit="1" customWidth="1"/>
    <col min="5" max="6" width="13.5703125" bestFit="1" customWidth="1"/>
  </cols>
  <sheetData>
    <row r="1" spans="1:6" x14ac:dyDescent="0.25">
      <c r="A1" t="s">
        <v>27</v>
      </c>
      <c r="B1" t="s">
        <v>15</v>
      </c>
      <c r="C1" t="s">
        <v>16</v>
      </c>
      <c r="D1" t="s">
        <v>17</v>
      </c>
      <c r="E1" t="s">
        <v>6</v>
      </c>
      <c r="F1" t="s">
        <v>31</v>
      </c>
    </row>
    <row r="2" spans="1:6" x14ac:dyDescent="0.25">
      <c r="A2" s="23" t="s">
        <v>37</v>
      </c>
      <c r="B2" s="23" t="s">
        <v>665</v>
      </c>
      <c r="C2" s="23" t="s">
        <v>666</v>
      </c>
      <c r="D2" s="23" t="s">
        <v>40</v>
      </c>
      <c r="E2">
        <v>46</v>
      </c>
      <c r="F2" s="23" t="s">
        <v>41</v>
      </c>
    </row>
    <row r="3" spans="1:6" x14ac:dyDescent="0.25">
      <c r="A3" s="23" t="s">
        <v>735</v>
      </c>
      <c r="B3" s="23" t="s">
        <v>665</v>
      </c>
      <c r="C3" s="23" t="s">
        <v>666</v>
      </c>
      <c r="D3" s="23" t="s">
        <v>40</v>
      </c>
      <c r="E3">
        <v>23</v>
      </c>
      <c r="F3" s="23" t="s">
        <v>41</v>
      </c>
    </row>
    <row r="4" spans="1:6" x14ac:dyDescent="0.25">
      <c r="A4" s="23" t="s">
        <v>735</v>
      </c>
      <c r="B4" s="23" t="s">
        <v>760</v>
      </c>
      <c r="C4" s="23" t="s">
        <v>761</v>
      </c>
      <c r="D4" s="23" t="s">
        <v>40</v>
      </c>
      <c r="E4">
        <v>6</v>
      </c>
      <c r="F4" s="23" t="s">
        <v>41</v>
      </c>
    </row>
    <row r="5" spans="1:6" x14ac:dyDescent="0.25">
      <c r="A5" s="23" t="s">
        <v>37</v>
      </c>
      <c r="B5" s="23" t="s">
        <v>221</v>
      </c>
      <c r="C5" s="23" t="s">
        <v>222</v>
      </c>
      <c r="D5" s="23" t="s">
        <v>40</v>
      </c>
      <c r="E5">
        <v>15</v>
      </c>
      <c r="F5" s="23" t="s">
        <v>41</v>
      </c>
    </row>
    <row r="6" spans="1:6" x14ac:dyDescent="0.25">
      <c r="A6" s="23" t="s">
        <v>37</v>
      </c>
      <c r="B6" s="23" t="s">
        <v>618</v>
      </c>
      <c r="C6" s="23" t="s">
        <v>222</v>
      </c>
      <c r="D6" s="23" t="s">
        <v>40</v>
      </c>
      <c r="E6">
        <v>81</v>
      </c>
      <c r="F6" s="23" t="s">
        <v>41</v>
      </c>
    </row>
    <row r="7" spans="1:6" x14ac:dyDescent="0.25">
      <c r="A7" s="23" t="s">
        <v>735</v>
      </c>
      <c r="B7" s="23" t="s">
        <v>618</v>
      </c>
      <c r="C7" s="23" t="s">
        <v>222</v>
      </c>
      <c r="D7" s="23" t="s">
        <v>40</v>
      </c>
      <c r="E7">
        <v>5</v>
      </c>
      <c r="F7" s="23" t="s">
        <v>41</v>
      </c>
    </row>
    <row r="8" spans="1:6" x14ac:dyDescent="0.25">
      <c r="A8" s="23" t="s">
        <v>37</v>
      </c>
      <c r="B8" s="23" t="s">
        <v>329</v>
      </c>
      <c r="C8" s="23" t="s">
        <v>330</v>
      </c>
      <c r="D8" s="23" t="s">
        <v>40</v>
      </c>
      <c r="E8">
        <v>12</v>
      </c>
      <c r="F8" s="23" t="s">
        <v>41</v>
      </c>
    </row>
    <row r="9" spans="1:6" x14ac:dyDescent="0.25">
      <c r="A9" s="23" t="s">
        <v>37</v>
      </c>
      <c r="B9" s="23" t="s">
        <v>689</v>
      </c>
      <c r="C9" s="23" t="s">
        <v>690</v>
      </c>
      <c r="D9" s="23" t="s">
        <v>40</v>
      </c>
      <c r="E9">
        <v>45</v>
      </c>
      <c r="F9" s="23" t="s">
        <v>41</v>
      </c>
    </row>
    <row r="10" spans="1:6" x14ac:dyDescent="0.25">
      <c r="A10" s="23" t="s">
        <v>37</v>
      </c>
      <c r="B10" s="23" t="s">
        <v>335</v>
      </c>
      <c r="C10" s="23" t="s">
        <v>336</v>
      </c>
      <c r="D10" s="23" t="s">
        <v>40</v>
      </c>
      <c r="E10">
        <v>27</v>
      </c>
      <c r="F10" s="23" t="s">
        <v>41</v>
      </c>
    </row>
    <row r="11" spans="1:6" x14ac:dyDescent="0.25">
      <c r="A11" s="23" t="s">
        <v>735</v>
      </c>
      <c r="B11" s="23" t="s">
        <v>335</v>
      </c>
      <c r="C11" s="23" t="s">
        <v>336</v>
      </c>
      <c r="D11" s="23" t="s">
        <v>40</v>
      </c>
      <c r="E11">
        <v>15</v>
      </c>
      <c r="F11" s="23" t="s">
        <v>41</v>
      </c>
    </row>
    <row r="12" spans="1:6" x14ac:dyDescent="0.25">
      <c r="A12" s="23" t="s">
        <v>37</v>
      </c>
      <c r="B12" s="23" t="s">
        <v>700</v>
      </c>
      <c r="C12" s="23" t="s">
        <v>666</v>
      </c>
      <c r="D12" s="23" t="s">
        <v>40</v>
      </c>
      <c r="E12">
        <v>74</v>
      </c>
      <c r="F12" s="23" t="s">
        <v>41</v>
      </c>
    </row>
    <row r="13" spans="1:6" x14ac:dyDescent="0.25">
      <c r="A13" s="23" t="s">
        <v>735</v>
      </c>
      <c r="B13" s="23" t="s">
        <v>700</v>
      </c>
      <c r="C13" s="23" t="s">
        <v>666</v>
      </c>
      <c r="D13" s="23" t="s">
        <v>40</v>
      </c>
      <c r="E13">
        <v>29</v>
      </c>
      <c r="F13" s="23" t="s">
        <v>41</v>
      </c>
    </row>
    <row r="14" spans="1:6" x14ac:dyDescent="0.25">
      <c r="A14" s="23" t="s">
        <v>37</v>
      </c>
      <c r="B14" s="23" t="s">
        <v>719</v>
      </c>
      <c r="C14" s="23" t="s">
        <v>720</v>
      </c>
      <c r="D14" s="23" t="s">
        <v>40</v>
      </c>
      <c r="E14">
        <v>54</v>
      </c>
      <c r="F14" s="23" t="s">
        <v>41</v>
      </c>
    </row>
    <row r="15" spans="1:6" x14ac:dyDescent="0.25">
      <c r="A15" s="23" t="s">
        <v>735</v>
      </c>
      <c r="B15" s="23" t="s">
        <v>719</v>
      </c>
      <c r="C15" s="23" t="s">
        <v>720</v>
      </c>
      <c r="D15" s="23" t="s">
        <v>40</v>
      </c>
      <c r="E15">
        <v>5</v>
      </c>
      <c r="F15" s="23" t="s">
        <v>41</v>
      </c>
    </row>
    <row r="16" spans="1:6" x14ac:dyDescent="0.25">
      <c r="A16" s="23" t="s">
        <v>37</v>
      </c>
      <c r="B16" s="23" t="s">
        <v>106</v>
      </c>
      <c r="C16" s="23" t="s">
        <v>107</v>
      </c>
      <c r="D16" s="23" t="s">
        <v>40</v>
      </c>
      <c r="E16">
        <v>232</v>
      </c>
      <c r="F16" s="23" t="s">
        <v>41</v>
      </c>
    </row>
    <row r="17" spans="1:6" x14ac:dyDescent="0.25">
      <c r="A17" s="23" t="s">
        <v>735</v>
      </c>
      <c r="B17" s="23" t="s">
        <v>106</v>
      </c>
      <c r="C17" s="23" t="s">
        <v>107</v>
      </c>
      <c r="D17" s="23" t="s">
        <v>40</v>
      </c>
      <c r="E17">
        <v>110</v>
      </c>
      <c r="F17" s="23" t="s">
        <v>41</v>
      </c>
    </row>
    <row r="18" spans="1:6" x14ac:dyDescent="0.25">
      <c r="A18" s="23" t="s">
        <v>37</v>
      </c>
      <c r="B18" s="23" t="s">
        <v>685</v>
      </c>
      <c r="C18" s="23" t="s">
        <v>686</v>
      </c>
      <c r="D18" s="23" t="s">
        <v>40</v>
      </c>
      <c r="E18">
        <v>60</v>
      </c>
      <c r="F18" s="23" t="s">
        <v>41</v>
      </c>
    </row>
    <row r="19" spans="1:6" x14ac:dyDescent="0.25">
      <c r="A19" s="23" t="s">
        <v>37</v>
      </c>
      <c r="B19" s="23" t="s">
        <v>538</v>
      </c>
      <c r="C19" s="23" t="s">
        <v>539</v>
      </c>
      <c r="D19" s="23" t="s">
        <v>40</v>
      </c>
      <c r="E19">
        <v>35</v>
      </c>
      <c r="F19" s="23" t="s">
        <v>41</v>
      </c>
    </row>
    <row r="20" spans="1:6" x14ac:dyDescent="0.25">
      <c r="A20" s="23" t="s">
        <v>735</v>
      </c>
      <c r="B20" s="23" t="s">
        <v>538</v>
      </c>
      <c r="C20" s="23" t="s">
        <v>539</v>
      </c>
      <c r="D20" s="23" t="s">
        <v>40</v>
      </c>
      <c r="E20">
        <v>6</v>
      </c>
      <c r="F20" s="23" t="s">
        <v>41</v>
      </c>
    </row>
    <row r="21" spans="1:6" x14ac:dyDescent="0.25">
      <c r="A21" s="23" t="s">
        <v>37</v>
      </c>
      <c r="B21" s="23" t="s">
        <v>544</v>
      </c>
      <c r="C21" s="23" t="s">
        <v>545</v>
      </c>
      <c r="D21" s="23" t="s">
        <v>40</v>
      </c>
      <c r="E21">
        <v>21</v>
      </c>
      <c r="F21" s="23" t="s">
        <v>41</v>
      </c>
    </row>
    <row r="22" spans="1:6" x14ac:dyDescent="0.25">
      <c r="A22" s="23" t="s">
        <v>735</v>
      </c>
      <c r="B22" s="23" t="s">
        <v>544</v>
      </c>
      <c r="C22" s="23" t="s">
        <v>545</v>
      </c>
      <c r="D22" s="23" t="s">
        <v>40</v>
      </c>
      <c r="E22">
        <v>10</v>
      </c>
      <c r="F22" s="23" t="s">
        <v>41</v>
      </c>
    </row>
    <row r="23" spans="1:6" x14ac:dyDescent="0.25">
      <c r="A23" s="23" t="s">
        <v>37</v>
      </c>
      <c r="B23" s="23" t="s">
        <v>409</v>
      </c>
      <c r="C23" s="23" t="s">
        <v>410</v>
      </c>
      <c r="D23" s="23" t="s">
        <v>40</v>
      </c>
      <c r="E23">
        <v>24</v>
      </c>
      <c r="F23" s="23" t="s">
        <v>41</v>
      </c>
    </row>
    <row r="24" spans="1:6" x14ac:dyDescent="0.25">
      <c r="A24" s="23" t="s">
        <v>735</v>
      </c>
      <c r="B24" s="23" t="s">
        <v>409</v>
      </c>
      <c r="C24" s="23" t="s">
        <v>410</v>
      </c>
      <c r="D24" s="23" t="s">
        <v>40</v>
      </c>
      <c r="E24">
        <v>56</v>
      </c>
      <c r="F24" s="23" t="s">
        <v>41</v>
      </c>
    </row>
    <row r="25" spans="1:6" x14ac:dyDescent="0.25">
      <c r="A25" s="23" t="s">
        <v>37</v>
      </c>
      <c r="B25" s="23" t="s">
        <v>661</v>
      </c>
      <c r="C25" s="23" t="s">
        <v>662</v>
      </c>
      <c r="D25" s="23" t="s">
        <v>40</v>
      </c>
      <c r="E25">
        <v>30</v>
      </c>
      <c r="F25" s="23" t="s">
        <v>41</v>
      </c>
    </row>
    <row r="26" spans="1:6" x14ac:dyDescent="0.25">
      <c r="A26" s="23" t="s">
        <v>735</v>
      </c>
      <c r="B26" s="23" t="s">
        <v>661</v>
      </c>
      <c r="C26" s="23" t="s">
        <v>662</v>
      </c>
      <c r="D26" s="23" t="s">
        <v>40</v>
      </c>
      <c r="E26">
        <v>11</v>
      </c>
      <c r="F26" s="23" t="s">
        <v>41</v>
      </c>
    </row>
    <row r="27" spans="1:6" x14ac:dyDescent="0.25">
      <c r="A27" s="23" t="s">
        <v>37</v>
      </c>
      <c r="B27" s="23" t="s">
        <v>610</v>
      </c>
      <c r="C27" s="23" t="s">
        <v>611</v>
      </c>
      <c r="D27" s="23" t="s">
        <v>40</v>
      </c>
      <c r="E27">
        <v>54</v>
      </c>
      <c r="F27" s="23" t="s">
        <v>41</v>
      </c>
    </row>
    <row r="28" spans="1:6" x14ac:dyDescent="0.25">
      <c r="A28" s="23" t="s">
        <v>37</v>
      </c>
      <c r="B28" s="23" t="s">
        <v>64</v>
      </c>
      <c r="C28" s="23" t="s">
        <v>65</v>
      </c>
      <c r="D28" s="23" t="s">
        <v>40</v>
      </c>
      <c r="E28">
        <v>256</v>
      </c>
      <c r="F28" s="23" t="s">
        <v>41</v>
      </c>
    </row>
    <row r="29" spans="1:6" x14ac:dyDescent="0.25">
      <c r="A29" s="23" t="s">
        <v>37</v>
      </c>
      <c r="B29" s="23" t="s">
        <v>713</v>
      </c>
      <c r="C29" s="23" t="s">
        <v>714</v>
      </c>
      <c r="D29" s="23" t="s">
        <v>40</v>
      </c>
      <c r="E29">
        <v>108</v>
      </c>
      <c r="F29" s="23" t="s">
        <v>41</v>
      </c>
    </row>
    <row r="30" spans="1:6" x14ac:dyDescent="0.25">
      <c r="A30" s="23" t="s">
        <v>37</v>
      </c>
      <c r="B30" s="23" t="s">
        <v>600</v>
      </c>
      <c r="C30" s="23" t="s">
        <v>601</v>
      </c>
      <c r="D30" s="23" t="s">
        <v>40</v>
      </c>
      <c r="E30">
        <v>87</v>
      </c>
      <c r="F30" s="23" t="s">
        <v>41</v>
      </c>
    </row>
    <row r="31" spans="1:6" s="29" customFormat="1" x14ac:dyDescent="0.25">
      <c r="A31" s="28" t="s">
        <v>37</v>
      </c>
      <c r="B31" s="28" t="s">
        <v>461</v>
      </c>
      <c r="C31" s="28" t="s">
        <v>462</v>
      </c>
      <c r="D31" s="28" t="s">
        <v>40</v>
      </c>
      <c r="E31" s="29">
        <v>47</v>
      </c>
      <c r="F31" s="28" t="s">
        <v>41</v>
      </c>
    </row>
    <row r="32" spans="1:6" s="29" customFormat="1" x14ac:dyDescent="0.25">
      <c r="A32" s="28" t="s">
        <v>37</v>
      </c>
      <c r="B32" s="28" t="s">
        <v>225</v>
      </c>
      <c r="C32" s="28" t="s">
        <v>226</v>
      </c>
      <c r="D32" s="28" t="s">
        <v>40</v>
      </c>
      <c r="E32" s="29">
        <v>39</v>
      </c>
      <c r="F32" s="28" t="s">
        <v>41</v>
      </c>
    </row>
    <row r="33" spans="1:6" s="29" customFormat="1" x14ac:dyDescent="0.25">
      <c r="A33" s="28" t="s">
        <v>37</v>
      </c>
      <c r="B33" s="28" t="s">
        <v>217</v>
      </c>
      <c r="C33" s="28" t="s">
        <v>218</v>
      </c>
      <c r="D33" s="28" t="s">
        <v>40</v>
      </c>
      <c r="E33" s="29">
        <v>27</v>
      </c>
      <c r="F33" s="28" t="s">
        <v>41</v>
      </c>
    </row>
    <row r="34" spans="1:6" s="29" customFormat="1" x14ac:dyDescent="0.25">
      <c r="A34" s="28" t="s">
        <v>37</v>
      </c>
      <c r="B34" s="28" t="s">
        <v>165</v>
      </c>
      <c r="C34" s="28" t="s">
        <v>166</v>
      </c>
      <c r="D34" s="28" t="s">
        <v>40</v>
      </c>
      <c r="E34" s="29">
        <v>60</v>
      </c>
      <c r="F34" s="28" t="s">
        <v>41</v>
      </c>
    </row>
    <row r="35" spans="1:6" s="29" customFormat="1" x14ac:dyDescent="0.25">
      <c r="A35" s="28" t="s">
        <v>37</v>
      </c>
      <c r="B35" s="28" t="s">
        <v>606</v>
      </c>
      <c r="C35" s="28" t="s">
        <v>607</v>
      </c>
      <c r="D35" s="28" t="s">
        <v>40</v>
      </c>
      <c r="E35" s="29">
        <v>83</v>
      </c>
      <c r="F35" s="28" t="s">
        <v>41</v>
      </c>
    </row>
    <row r="36" spans="1:6" s="29" customFormat="1" x14ac:dyDescent="0.25">
      <c r="A36" s="28" t="s">
        <v>37</v>
      </c>
      <c r="B36" s="28" t="s">
        <v>512</v>
      </c>
      <c r="C36" s="28" t="s">
        <v>513</v>
      </c>
      <c r="D36" s="28" t="s">
        <v>40</v>
      </c>
      <c r="E36" s="29">
        <v>43</v>
      </c>
      <c r="F36" s="28" t="s">
        <v>41</v>
      </c>
    </row>
    <row r="37" spans="1:6" s="29" customFormat="1" x14ac:dyDescent="0.25">
      <c r="A37" s="28" t="s">
        <v>37</v>
      </c>
      <c r="B37" s="28" t="s">
        <v>243</v>
      </c>
      <c r="C37" s="28" t="s">
        <v>244</v>
      </c>
      <c r="D37" s="28" t="s">
        <v>40</v>
      </c>
      <c r="E37" s="29">
        <v>132</v>
      </c>
      <c r="F37" s="28" t="s">
        <v>41</v>
      </c>
    </row>
    <row r="38" spans="1:6" s="29" customFormat="1" x14ac:dyDescent="0.25">
      <c r="A38" s="28" t="s">
        <v>37</v>
      </c>
      <c r="B38" s="28" t="s">
        <v>186</v>
      </c>
      <c r="C38" s="28" t="s">
        <v>187</v>
      </c>
      <c r="D38" s="28" t="s">
        <v>40</v>
      </c>
      <c r="E38" s="29">
        <v>17</v>
      </c>
      <c r="F38" s="28" t="s">
        <v>41</v>
      </c>
    </row>
    <row r="39" spans="1:6" s="29" customFormat="1" x14ac:dyDescent="0.25">
      <c r="A39" s="28" t="s">
        <v>37</v>
      </c>
      <c r="B39" s="28" t="s">
        <v>532</v>
      </c>
      <c r="C39" s="28" t="s">
        <v>533</v>
      </c>
      <c r="D39" s="28" t="s">
        <v>40</v>
      </c>
      <c r="E39" s="29">
        <v>36</v>
      </c>
      <c r="F39" s="28" t="s">
        <v>41</v>
      </c>
    </row>
    <row r="40" spans="1:6" s="29" customFormat="1" x14ac:dyDescent="0.25">
      <c r="A40" s="28" t="s">
        <v>37</v>
      </c>
      <c r="B40" s="28" t="s">
        <v>119</v>
      </c>
      <c r="C40" s="28" t="s">
        <v>120</v>
      </c>
      <c r="D40" s="28" t="s">
        <v>40</v>
      </c>
      <c r="E40" s="29">
        <v>168</v>
      </c>
      <c r="F40" s="28" t="s">
        <v>41</v>
      </c>
    </row>
    <row r="41" spans="1:6" s="29" customFormat="1" x14ac:dyDescent="0.25">
      <c r="A41" s="28" t="s">
        <v>37</v>
      </c>
      <c r="B41" s="28" t="s">
        <v>675</v>
      </c>
      <c r="C41" s="28" t="s">
        <v>676</v>
      </c>
      <c r="D41" s="28" t="s">
        <v>40</v>
      </c>
      <c r="E41" s="29">
        <v>155</v>
      </c>
      <c r="F41" s="28" t="s">
        <v>41</v>
      </c>
    </row>
    <row r="42" spans="1:6" s="29" customFormat="1" x14ac:dyDescent="0.25">
      <c r="A42" s="28" t="s">
        <v>37</v>
      </c>
      <c r="B42" s="28" t="s">
        <v>269</v>
      </c>
      <c r="C42" s="28" t="s">
        <v>270</v>
      </c>
      <c r="D42" s="28" t="s">
        <v>40</v>
      </c>
      <c r="E42" s="29">
        <v>66</v>
      </c>
      <c r="F42" s="28" t="s">
        <v>41</v>
      </c>
    </row>
    <row r="43" spans="1:6" s="29" customFormat="1" x14ac:dyDescent="0.25">
      <c r="A43" s="28" t="s">
        <v>735</v>
      </c>
      <c r="B43" s="28" t="s">
        <v>762</v>
      </c>
      <c r="C43" s="28" t="s">
        <v>763</v>
      </c>
      <c r="D43" s="28" t="s">
        <v>40</v>
      </c>
      <c r="E43" s="29">
        <v>5</v>
      </c>
      <c r="F43" s="28" t="s">
        <v>41</v>
      </c>
    </row>
    <row r="44" spans="1:6" s="29" customFormat="1" x14ac:dyDescent="0.25">
      <c r="A44" s="28" t="s">
        <v>37</v>
      </c>
      <c r="B44" s="28" t="s">
        <v>723</v>
      </c>
      <c r="C44" s="28" t="s">
        <v>724</v>
      </c>
      <c r="D44" s="28" t="s">
        <v>40</v>
      </c>
      <c r="E44" s="29">
        <v>6</v>
      </c>
      <c r="F44" s="28" t="s">
        <v>41</v>
      </c>
    </row>
    <row r="45" spans="1:6" s="29" customFormat="1" x14ac:dyDescent="0.25">
      <c r="A45" s="28" t="s">
        <v>735</v>
      </c>
      <c r="B45" s="28" t="s">
        <v>723</v>
      </c>
      <c r="C45" s="28" t="s">
        <v>724</v>
      </c>
      <c r="D45" s="28" t="s">
        <v>40</v>
      </c>
      <c r="E45" s="29">
        <v>17</v>
      </c>
      <c r="F45" s="28" t="s">
        <v>41</v>
      </c>
    </row>
    <row r="46" spans="1:6" s="29" customFormat="1" x14ac:dyDescent="0.25">
      <c r="A46" s="28" t="s">
        <v>37</v>
      </c>
      <c r="B46" s="28" t="s">
        <v>346</v>
      </c>
      <c r="C46" s="28" t="s">
        <v>347</v>
      </c>
      <c r="D46" s="28" t="s">
        <v>40</v>
      </c>
      <c r="E46" s="29">
        <v>172</v>
      </c>
      <c r="F46" s="28" t="s">
        <v>41</v>
      </c>
    </row>
    <row r="47" spans="1:6" s="29" customFormat="1" x14ac:dyDescent="0.25">
      <c r="A47" s="28" t="s">
        <v>37</v>
      </c>
      <c r="B47" s="28" t="s">
        <v>38</v>
      </c>
      <c r="C47" s="28" t="s">
        <v>39</v>
      </c>
      <c r="D47" s="28" t="s">
        <v>40</v>
      </c>
      <c r="E47" s="29">
        <v>268</v>
      </c>
      <c r="F47" s="28" t="s">
        <v>41</v>
      </c>
    </row>
    <row r="48" spans="1:6" x14ac:dyDescent="0.25">
      <c r="A48" s="23" t="s">
        <v>37</v>
      </c>
      <c r="B48" s="23" t="s">
        <v>561</v>
      </c>
      <c r="C48" s="23" t="s">
        <v>562</v>
      </c>
      <c r="D48" s="23" t="s">
        <v>40</v>
      </c>
      <c r="E48">
        <v>7</v>
      </c>
      <c r="F48" s="23" t="s">
        <v>41</v>
      </c>
    </row>
    <row r="49" spans="1:6" x14ac:dyDescent="0.25">
      <c r="A49" s="23" t="s">
        <v>735</v>
      </c>
      <c r="B49" s="23" t="s">
        <v>750</v>
      </c>
      <c r="C49" s="23" t="s">
        <v>751</v>
      </c>
      <c r="D49" s="23" t="s">
        <v>40</v>
      </c>
      <c r="E49">
        <v>5</v>
      </c>
      <c r="F49" s="23" t="s">
        <v>41</v>
      </c>
    </row>
    <row r="50" spans="1:6" x14ac:dyDescent="0.25">
      <c r="A50" s="23" t="s">
        <v>37</v>
      </c>
      <c r="B50" s="23" t="s">
        <v>637</v>
      </c>
      <c r="C50" s="23" t="s">
        <v>638</v>
      </c>
      <c r="D50" s="23" t="s">
        <v>40</v>
      </c>
      <c r="E50">
        <v>2</v>
      </c>
      <c r="F50" s="23" t="s">
        <v>41</v>
      </c>
    </row>
    <row r="51" spans="1:6" x14ac:dyDescent="0.25">
      <c r="A51" s="23" t="s">
        <v>37</v>
      </c>
      <c r="B51" s="23" t="s">
        <v>396</v>
      </c>
      <c r="C51" s="23" t="s">
        <v>397</v>
      </c>
      <c r="D51" s="23" t="s">
        <v>40</v>
      </c>
      <c r="E51">
        <v>1</v>
      </c>
      <c r="F51" s="23" t="s">
        <v>41</v>
      </c>
    </row>
    <row r="52" spans="1:6" x14ac:dyDescent="0.25">
      <c r="A52" s="23" t="s">
        <v>37</v>
      </c>
      <c r="B52" s="23" t="s">
        <v>639</v>
      </c>
      <c r="C52" s="23" t="s">
        <v>640</v>
      </c>
      <c r="D52" s="23" t="s">
        <v>40</v>
      </c>
      <c r="E52">
        <v>3</v>
      </c>
      <c r="F52" s="23" t="s">
        <v>41</v>
      </c>
    </row>
    <row r="53" spans="1:6" x14ac:dyDescent="0.25">
      <c r="A53" s="23" t="s">
        <v>735</v>
      </c>
      <c r="B53" s="23" t="s">
        <v>746</v>
      </c>
      <c r="C53" s="23" t="s">
        <v>747</v>
      </c>
      <c r="D53" s="23" t="s">
        <v>40</v>
      </c>
      <c r="E53">
        <v>4</v>
      </c>
      <c r="F53" s="23" t="s">
        <v>41</v>
      </c>
    </row>
    <row r="54" spans="1:6" x14ac:dyDescent="0.25">
      <c r="A54" s="23" t="s">
        <v>37</v>
      </c>
      <c r="B54" s="23" t="s">
        <v>667</v>
      </c>
      <c r="C54" s="23" t="s">
        <v>668</v>
      </c>
      <c r="D54" s="23" t="s">
        <v>40</v>
      </c>
      <c r="E54">
        <v>1</v>
      </c>
      <c r="F54" s="23" t="s">
        <v>41</v>
      </c>
    </row>
    <row r="55" spans="1:6" x14ac:dyDescent="0.25">
      <c r="A55" s="23" t="s">
        <v>735</v>
      </c>
      <c r="B55" s="23" t="s">
        <v>667</v>
      </c>
      <c r="C55" s="23" t="s">
        <v>668</v>
      </c>
      <c r="D55" s="23" t="s">
        <v>40</v>
      </c>
      <c r="E55">
        <v>6</v>
      </c>
      <c r="F55" s="23" t="s">
        <v>41</v>
      </c>
    </row>
    <row r="56" spans="1:6" x14ac:dyDescent="0.25">
      <c r="A56" s="23" t="s">
        <v>735</v>
      </c>
      <c r="B56" s="23" t="s">
        <v>756</v>
      </c>
      <c r="C56" s="23" t="s">
        <v>757</v>
      </c>
      <c r="D56" s="23" t="s">
        <v>40</v>
      </c>
      <c r="E56">
        <v>5</v>
      </c>
      <c r="F56" s="23" t="s">
        <v>41</v>
      </c>
    </row>
    <row r="57" spans="1:6" x14ac:dyDescent="0.25">
      <c r="A57" s="23" t="s">
        <v>37</v>
      </c>
      <c r="B57" s="23" t="s">
        <v>602</v>
      </c>
      <c r="C57" s="23" t="s">
        <v>603</v>
      </c>
      <c r="D57" s="23" t="s">
        <v>40</v>
      </c>
      <c r="E57">
        <v>5</v>
      </c>
      <c r="F57" s="23" t="s">
        <v>41</v>
      </c>
    </row>
    <row r="58" spans="1:6" x14ac:dyDescent="0.25">
      <c r="A58" s="23" t="s">
        <v>735</v>
      </c>
      <c r="B58" s="23" t="s">
        <v>602</v>
      </c>
      <c r="C58" s="23" t="s">
        <v>603</v>
      </c>
      <c r="D58" s="23" t="s">
        <v>40</v>
      </c>
      <c r="E58">
        <v>12</v>
      </c>
      <c r="F58" s="23" t="s">
        <v>41</v>
      </c>
    </row>
    <row r="59" spans="1:6" x14ac:dyDescent="0.25">
      <c r="A59" s="23" t="s">
        <v>735</v>
      </c>
      <c r="B59" s="23" t="s">
        <v>740</v>
      </c>
      <c r="C59" s="23" t="s">
        <v>741</v>
      </c>
      <c r="D59" s="23" t="s">
        <v>40</v>
      </c>
      <c r="E59">
        <v>6</v>
      </c>
      <c r="F59" s="23" t="s">
        <v>41</v>
      </c>
    </row>
    <row r="60" spans="1:6" x14ac:dyDescent="0.25">
      <c r="A60" s="23" t="s">
        <v>735</v>
      </c>
      <c r="B60" s="23" t="s">
        <v>774</v>
      </c>
      <c r="C60" s="23" t="s">
        <v>775</v>
      </c>
      <c r="D60" s="23" t="s">
        <v>40</v>
      </c>
      <c r="E60">
        <v>1</v>
      </c>
      <c r="F60" s="23" t="s">
        <v>41</v>
      </c>
    </row>
    <row r="61" spans="1:6" x14ac:dyDescent="0.25">
      <c r="A61" s="23" t="s">
        <v>37</v>
      </c>
      <c r="B61" s="23" t="s">
        <v>433</v>
      </c>
      <c r="C61" s="23" t="s">
        <v>434</v>
      </c>
      <c r="D61" s="23" t="s">
        <v>40</v>
      </c>
      <c r="E61">
        <v>2</v>
      </c>
      <c r="F61" s="23" t="s">
        <v>41</v>
      </c>
    </row>
    <row r="62" spans="1:6" x14ac:dyDescent="0.25">
      <c r="A62" s="23" t="s">
        <v>37</v>
      </c>
      <c r="B62" s="23" t="s">
        <v>350</v>
      </c>
      <c r="C62" s="23" t="s">
        <v>351</v>
      </c>
      <c r="D62" s="23" t="s">
        <v>40</v>
      </c>
      <c r="E62">
        <v>2</v>
      </c>
      <c r="F62" s="23" t="s">
        <v>41</v>
      </c>
    </row>
    <row r="63" spans="1:6" x14ac:dyDescent="0.25">
      <c r="A63" s="23" t="s">
        <v>37</v>
      </c>
      <c r="B63" s="23" t="s">
        <v>157</v>
      </c>
      <c r="C63" s="23" t="s">
        <v>158</v>
      </c>
      <c r="D63" s="23" t="s">
        <v>40</v>
      </c>
      <c r="E63">
        <v>24</v>
      </c>
      <c r="F63" s="23" t="s">
        <v>41</v>
      </c>
    </row>
    <row r="64" spans="1:6" x14ac:dyDescent="0.25">
      <c r="A64" s="23" t="s">
        <v>37</v>
      </c>
      <c r="B64" s="23" t="s">
        <v>196</v>
      </c>
      <c r="C64" s="23" t="s">
        <v>197</v>
      </c>
      <c r="D64" s="23" t="s">
        <v>40</v>
      </c>
      <c r="E64">
        <v>114</v>
      </c>
      <c r="F64" s="23" t="s">
        <v>41</v>
      </c>
    </row>
    <row r="65" spans="1:6" x14ac:dyDescent="0.25">
      <c r="A65" s="23" t="s">
        <v>37</v>
      </c>
      <c r="B65" s="23" t="s">
        <v>147</v>
      </c>
      <c r="C65" s="23" t="s">
        <v>148</v>
      </c>
      <c r="D65" s="23" t="s">
        <v>40</v>
      </c>
      <c r="E65">
        <v>28</v>
      </c>
      <c r="F65" s="23" t="s">
        <v>41</v>
      </c>
    </row>
    <row r="66" spans="1:6" x14ac:dyDescent="0.25">
      <c r="A66" s="23" t="s">
        <v>37</v>
      </c>
      <c r="B66" s="23" t="s">
        <v>526</v>
      </c>
      <c r="C66" s="23" t="s">
        <v>527</v>
      </c>
      <c r="D66" s="23" t="s">
        <v>40</v>
      </c>
      <c r="E66">
        <v>59</v>
      </c>
      <c r="F66" s="23" t="s">
        <v>41</v>
      </c>
    </row>
    <row r="67" spans="1:6" x14ac:dyDescent="0.25">
      <c r="A67" s="23" t="s">
        <v>735</v>
      </c>
      <c r="B67" s="23" t="s">
        <v>526</v>
      </c>
      <c r="C67" s="23" t="s">
        <v>527</v>
      </c>
      <c r="D67" s="23" t="s">
        <v>40</v>
      </c>
      <c r="E67">
        <v>13</v>
      </c>
      <c r="F67" s="23" t="s">
        <v>41</v>
      </c>
    </row>
    <row r="68" spans="1:6" x14ac:dyDescent="0.25">
      <c r="A68" s="23" t="s">
        <v>37</v>
      </c>
      <c r="B68" s="23" t="s">
        <v>227</v>
      </c>
      <c r="C68" s="23" t="s">
        <v>228</v>
      </c>
      <c r="D68" s="23" t="s">
        <v>40</v>
      </c>
      <c r="E68">
        <v>54</v>
      </c>
      <c r="F68" s="23" t="s">
        <v>41</v>
      </c>
    </row>
    <row r="69" spans="1:6" x14ac:dyDescent="0.25">
      <c r="A69" s="23" t="s">
        <v>37</v>
      </c>
      <c r="B69" s="23" t="s">
        <v>451</v>
      </c>
      <c r="C69" s="23" t="s">
        <v>452</v>
      </c>
      <c r="D69" s="23" t="s">
        <v>40</v>
      </c>
      <c r="E69">
        <v>192</v>
      </c>
      <c r="F69" s="23" t="s">
        <v>41</v>
      </c>
    </row>
    <row r="70" spans="1:6" x14ac:dyDescent="0.25">
      <c r="A70" s="23" t="s">
        <v>735</v>
      </c>
      <c r="B70" s="23" t="s">
        <v>451</v>
      </c>
      <c r="C70" s="23" t="s">
        <v>452</v>
      </c>
      <c r="D70" s="23" t="s">
        <v>40</v>
      </c>
      <c r="E70">
        <v>10</v>
      </c>
      <c r="F70" s="23" t="s">
        <v>41</v>
      </c>
    </row>
    <row r="71" spans="1:6" x14ac:dyDescent="0.25">
      <c r="A71" s="23" t="s">
        <v>37</v>
      </c>
      <c r="B71" s="23" t="s">
        <v>583</v>
      </c>
      <c r="C71" s="23" t="s">
        <v>584</v>
      </c>
      <c r="D71" s="23" t="s">
        <v>40</v>
      </c>
      <c r="E71">
        <v>102</v>
      </c>
      <c r="F71" s="23" t="s">
        <v>41</v>
      </c>
    </row>
    <row r="72" spans="1:6" x14ac:dyDescent="0.25">
      <c r="A72" s="23" t="s">
        <v>735</v>
      </c>
      <c r="B72" s="23" t="s">
        <v>583</v>
      </c>
      <c r="C72" s="23" t="s">
        <v>584</v>
      </c>
      <c r="D72" s="23" t="s">
        <v>40</v>
      </c>
      <c r="E72">
        <v>17</v>
      </c>
      <c r="F72" s="23" t="s">
        <v>41</v>
      </c>
    </row>
    <row r="73" spans="1:6" x14ac:dyDescent="0.25">
      <c r="A73" s="23" t="s">
        <v>37</v>
      </c>
      <c r="B73" s="23" t="s">
        <v>709</v>
      </c>
      <c r="C73" s="23" t="s">
        <v>710</v>
      </c>
      <c r="D73" s="23" t="s">
        <v>40</v>
      </c>
      <c r="E73">
        <v>42</v>
      </c>
      <c r="F73" s="23" t="s">
        <v>41</v>
      </c>
    </row>
    <row r="74" spans="1:6" x14ac:dyDescent="0.25">
      <c r="A74" s="23" t="s">
        <v>735</v>
      </c>
      <c r="B74" s="23" t="s">
        <v>709</v>
      </c>
      <c r="C74" s="23" t="s">
        <v>710</v>
      </c>
      <c r="D74" s="23" t="s">
        <v>40</v>
      </c>
      <c r="E74">
        <v>4</v>
      </c>
      <c r="F74" s="23" t="s">
        <v>41</v>
      </c>
    </row>
    <row r="75" spans="1:6" x14ac:dyDescent="0.25">
      <c r="A75" s="23" t="s">
        <v>37</v>
      </c>
      <c r="B75" s="23" t="s">
        <v>340</v>
      </c>
      <c r="C75" s="23" t="s">
        <v>341</v>
      </c>
      <c r="D75" s="23" t="s">
        <v>40</v>
      </c>
      <c r="E75">
        <v>2</v>
      </c>
      <c r="F75" s="23" t="s">
        <v>41</v>
      </c>
    </row>
    <row r="76" spans="1:6" x14ac:dyDescent="0.25">
      <c r="A76" s="23" t="s">
        <v>735</v>
      </c>
      <c r="B76" s="23" t="s">
        <v>770</v>
      </c>
      <c r="C76" s="23" t="s">
        <v>771</v>
      </c>
      <c r="D76" s="23" t="s">
        <v>40</v>
      </c>
      <c r="E76">
        <v>2</v>
      </c>
      <c r="F76" s="23" t="s">
        <v>41</v>
      </c>
    </row>
    <row r="77" spans="1:6" x14ac:dyDescent="0.25">
      <c r="A77" s="23" t="s">
        <v>37</v>
      </c>
      <c r="B77" s="23" t="s">
        <v>331</v>
      </c>
      <c r="C77" s="23" t="s">
        <v>332</v>
      </c>
      <c r="D77" s="23" t="s">
        <v>40</v>
      </c>
      <c r="E77">
        <v>69</v>
      </c>
      <c r="F77" s="23" t="s">
        <v>41</v>
      </c>
    </row>
    <row r="78" spans="1:6" x14ac:dyDescent="0.25">
      <c r="A78" s="23" t="s">
        <v>37</v>
      </c>
      <c r="B78" s="23" t="s">
        <v>352</v>
      </c>
      <c r="C78" s="23" t="s">
        <v>353</v>
      </c>
      <c r="D78" s="23" t="s">
        <v>40</v>
      </c>
      <c r="E78">
        <v>18</v>
      </c>
      <c r="F78" s="23" t="s">
        <v>41</v>
      </c>
    </row>
    <row r="79" spans="1:6" x14ac:dyDescent="0.25">
      <c r="A79" s="23" t="s">
        <v>735</v>
      </c>
      <c r="B79" s="23" t="s">
        <v>772</v>
      </c>
      <c r="C79" s="23" t="s">
        <v>773</v>
      </c>
      <c r="D79" s="23" t="s">
        <v>40</v>
      </c>
      <c r="E79">
        <v>3</v>
      </c>
      <c r="F79" s="23" t="s">
        <v>41</v>
      </c>
    </row>
    <row r="80" spans="1:6" x14ac:dyDescent="0.25">
      <c r="A80" s="23" t="s">
        <v>735</v>
      </c>
      <c r="B80" s="23" t="s">
        <v>758</v>
      </c>
      <c r="C80" s="23" t="s">
        <v>759</v>
      </c>
      <c r="D80" s="23" t="s">
        <v>40</v>
      </c>
      <c r="E80">
        <v>51</v>
      </c>
      <c r="F80" s="23" t="s">
        <v>41</v>
      </c>
    </row>
    <row r="81" spans="1:6" x14ac:dyDescent="0.25">
      <c r="A81" s="23" t="s">
        <v>37</v>
      </c>
      <c r="B81" s="23" t="s">
        <v>271</v>
      </c>
      <c r="C81" s="23" t="s">
        <v>272</v>
      </c>
      <c r="D81" s="23" t="s">
        <v>40</v>
      </c>
      <c r="E81">
        <v>53</v>
      </c>
      <c r="F81" s="23" t="s">
        <v>41</v>
      </c>
    </row>
    <row r="82" spans="1:6" x14ac:dyDescent="0.25">
      <c r="A82" s="23" t="s">
        <v>735</v>
      </c>
      <c r="B82" s="23" t="s">
        <v>271</v>
      </c>
      <c r="C82" s="23" t="s">
        <v>272</v>
      </c>
      <c r="D82" s="23" t="s">
        <v>40</v>
      </c>
      <c r="E82">
        <v>39</v>
      </c>
      <c r="F82" s="23" t="s">
        <v>41</v>
      </c>
    </row>
    <row r="83" spans="1:6" x14ac:dyDescent="0.25">
      <c r="A83" s="23" t="s">
        <v>37</v>
      </c>
      <c r="B83" s="23" t="s">
        <v>46</v>
      </c>
      <c r="C83" s="23" t="s">
        <v>47</v>
      </c>
      <c r="D83" s="23" t="s">
        <v>40</v>
      </c>
      <c r="E83">
        <v>624</v>
      </c>
      <c r="F83" s="23" t="s">
        <v>41</v>
      </c>
    </row>
    <row r="84" spans="1:6" x14ac:dyDescent="0.25">
      <c r="A84" s="23" t="s">
        <v>37</v>
      </c>
      <c r="B84" s="23" t="s">
        <v>46</v>
      </c>
      <c r="C84" s="23" t="s">
        <v>47</v>
      </c>
      <c r="D84" s="23" t="s">
        <v>40</v>
      </c>
      <c r="E84">
        <v>324</v>
      </c>
      <c r="F84" s="23" t="s">
        <v>41</v>
      </c>
    </row>
    <row r="85" spans="1:6" x14ac:dyDescent="0.25">
      <c r="A85" s="23" t="s">
        <v>37</v>
      </c>
      <c r="B85" s="23" t="s">
        <v>459</v>
      </c>
      <c r="C85" s="23" t="s">
        <v>460</v>
      </c>
      <c r="D85" s="23" t="s">
        <v>40</v>
      </c>
      <c r="E85">
        <v>102</v>
      </c>
      <c r="F85" s="23" t="s">
        <v>41</v>
      </c>
    </row>
    <row r="86" spans="1:6" x14ac:dyDescent="0.25">
      <c r="A86" s="23" t="s">
        <v>37</v>
      </c>
      <c r="B86" s="23" t="s">
        <v>651</v>
      </c>
      <c r="C86" s="23" t="s">
        <v>652</v>
      </c>
      <c r="D86" s="23" t="s">
        <v>40</v>
      </c>
      <c r="E86">
        <v>44</v>
      </c>
      <c r="F86" s="23" t="s">
        <v>41</v>
      </c>
    </row>
    <row r="87" spans="1:6" x14ac:dyDescent="0.25">
      <c r="A87" s="23" t="s">
        <v>37</v>
      </c>
      <c r="B87" s="23" t="s">
        <v>285</v>
      </c>
      <c r="C87" s="23" t="s">
        <v>286</v>
      </c>
      <c r="D87" s="23" t="s">
        <v>40</v>
      </c>
      <c r="E87">
        <v>106</v>
      </c>
      <c r="F87" s="23" t="s">
        <v>41</v>
      </c>
    </row>
    <row r="88" spans="1:6" x14ac:dyDescent="0.25">
      <c r="A88" s="23" t="s">
        <v>37</v>
      </c>
      <c r="B88" s="23" t="s">
        <v>647</v>
      </c>
      <c r="C88" s="23" t="s">
        <v>648</v>
      </c>
      <c r="D88" s="23" t="s">
        <v>40</v>
      </c>
      <c r="E88">
        <v>56</v>
      </c>
      <c r="F88" s="23" t="s">
        <v>41</v>
      </c>
    </row>
    <row r="89" spans="1:6" x14ac:dyDescent="0.25">
      <c r="A89" s="23" t="s">
        <v>37</v>
      </c>
      <c r="B89" s="23" t="s">
        <v>590</v>
      </c>
      <c r="C89" s="23" t="s">
        <v>591</v>
      </c>
      <c r="D89" s="23" t="s">
        <v>40</v>
      </c>
      <c r="E89">
        <v>77</v>
      </c>
      <c r="F89" s="23" t="s">
        <v>41</v>
      </c>
    </row>
    <row r="90" spans="1:6" x14ac:dyDescent="0.25">
      <c r="A90" s="23" t="s">
        <v>37</v>
      </c>
      <c r="B90" s="23" t="s">
        <v>66</v>
      </c>
      <c r="C90" s="23" t="s">
        <v>67</v>
      </c>
      <c r="D90" s="23" t="s">
        <v>40</v>
      </c>
      <c r="E90">
        <v>222.00000000000003</v>
      </c>
      <c r="F90" s="23" t="s">
        <v>41</v>
      </c>
    </row>
    <row r="91" spans="1:6" x14ac:dyDescent="0.25">
      <c r="A91" s="23" t="s">
        <v>37</v>
      </c>
      <c r="B91" s="23" t="s">
        <v>559</v>
      </c>
      <c r="C91" s="23" t="s">
        <v>560</v>
      </c>
      <c r="D91" s="23" t="s">
        <v>40</v>
      </c>
      <c r="E91">
        <v>192</v>
      </c>
      <c r="F91" s="23" t="s">
        <v>41</v>
      </c>
    </row>
    <row r="92" spans="1:6" x14ac:dyDescent="0.25">
      <c r="A92" s="23" t="s">
        <v>37</v>
      </c>
      <c r="B92" s="23" t="s">
        <v>249</v>
      </c>
      <c r="C92" s="23" t="s">
        <v>250</v>
      </c>
      <c r="D92" s="23" t="s">
        <v>40</v>
      </c>
      <c r="E92">
        <v>22</v>
      </c>
      <c r="F92" s="23" t="s">
        <v>41</v>
      </c>
    </row>
    <row r="93" spans="1:6" x14ac:dyDescent="0.25">
      <c r="A93" s="23" t="s">
        <v>37</v>
      </c>
      <c r="B93" s="23" t="s">
        <v>657</v>
      </c>
      <c r="C93" s="23" t="s">
        <v>658</v>
      </c>
      <c r="D93" s="23" t="s">
        <v>40</v>
      </c>
      <c r="E93">
        <v>35</v>
      </c>
      <c r="F93" s="23" t="s">
        <v>41</v>
      </c>
    </row>
    <row r="94" spans="1:6" x14ac:dyDescent="0.25">
      <c r="A94" s="23" t="s">
        <v>37</v>
      </c>
      <c r="B94" s="23" t="s">
        <v>453</v>
      </c>
      <c r="C94" s="23" t="s">
        <v>454</v>
      </c>
      <c r="D94" s="23" t="s">
        <v>40</v>
      </c>
      <c r="E94">
        <v>12</v>
      </c>
      <c r="F94" s="23" t="s">
        <v>41</v>
      </c>
    </row>
    <row r="95" spans="1:6" x14ac:dyDescent="0.25">
      <c r="A95" s="23" t="s">
        <v>37</v>
      </c>
      <c r="B95" s="23" t="s">
        <v>167</v>
      </c>
      <c r="C95" s="23" t="s">
        <v>168</v>
      </c>
      <c r="D95" s="23" t="s">
        <v>40</v>
      </c>
      <c r="E95">
        <v>75</v>
      </c>
      <c r="F95" s="23" t="s">
        <v>41</v>
      </c>
    </row>
    <row r="96" spans="1:6" x14ac:dyDescent="0.25">
      <c r="A96" s="23" t="s">
        <v>37</v>
      </c>
      <c r="B96" s="23" t="s">
        <v>653</v>
      </c>
      <c r="C96" s="23" t="s">
        <v>654</v>
      </c>
      <c r="D96" s="23" t="s">
        <v>40</v>
      </c>
      <c r="E96">
        <v>12</v>
      </c>
      <c r="F96" s="23" t="s">
        <v>41</v>
      </c>
    </row>
    <row r="97" spans="1:6" x14ac:dyDescent="0.25">
      <c r="A97" s="23" t="s">
        <v>37</v>
      </c>
      <c r="B97" s="23" t="s">
        <v>703</v>
      </c>
      <c r="C97" s="23" t="s">
        <v>704</v>
      </c>
      <c r="D97" s="23" t="s">
        <v>40</v>
      </c>
      <c r="E97">
        <v>43</v>
      </c>
      <c r="F97" s="23" t="s">
        <v>41</v>
      </c>
    </row>
    <row r="98" spans="1:6" x14ac:dyDescent="0.25">
      <c r="A98" s="23" t="s">
        <v>37</v>
      </c>
      <c r="B98" s="23" t="s">
        <v>198</v>
      </c>
      <c r="C98" s="23" t="s">
        <v>199</v>
      </c>
      <c r="D98" s="23" t="s">
        <v>40</v>
      </c>
      <c r="E98">
        <v>41</v>
      </c>
      <c r="F98" s="23" t="s">
        <v>41</v>
      </c>
    </row>
    <row r="99" spans="1:6" x14ac:dyDescent="0.25">
      <c r="A99" s="23" t="s">
        <v>37</v>
      </c>
      <c r="B99" s="23" t="s">
        <v>534</v>
      </c>
      <c r="C99" s="23" t="s">
        <v>535</v>
      </c>
      <c r="D99" s="23" t="s">
        <v>40</v>
      </c>
      <c r="E99">
        <v>38</v>
      </c>
      <c r="F99" s="23" t="s">
        <v>41</v>
      </c>
    </row>
    <row r="100" spans="1:6" x14ac:dyDescent="0.25">
      <c r="A100" s="23" t="s">
        <v>37</v>
      </c>
      <c r="B100" s="23" t="s">
        <v>229</v>
      </c>
      <c r="C100" s="23" t="s">
        <v>230</v>
      </c>
      <c r="D100" s="23" t="s">
        <v>40</v>
      </c>
      <c r="E100">
        <v>18</v>
      </c>
      <c r="F100" s="23" t="s">
        <v>41</v>
      </c>
    </row>
    <row r="101" spans="1:6" x14ac:dyDescent="0.25">
      <c r="A101" s="23" t="s">
        <v>37</v>
      </c>
      <c r="B101" s="23" t="s">
        <v>435</v>
      </c>
      <c r="C101" s="23" t="s">
        <v>436</v>
      </c>
      <c r="D101" s="23" t="s">
        <v>40</v>
      </c>
      <c r="E101">
        <v>28</v>
      </c>
      <c r="F101" s="23" t="s">
        <v>41</v>
      </c>
    </row>
    <row r="102" spans="1:6" x14ac:dyDescent="0.25">
      <c r="A102" s="23" t="s">
        <v>37</v>
      </c>
      <c r="B102" s="23" t="s">
        <v>219</v>
      </c>
      <c r="C102" s="23" t="s">
        <v>220</v>
      </c>
      <c r="D102" s="23" t="s">
        <v>40</v>
      </c>
      <c r="E102">
        <v>62</v>
      </c>
      <c r="F102" s="23" t="s">
        <v>41</v>
      </c>
    </row>
    <row r="103" spans="1:6" x14ac:dyDescent="0.25">
      <c r="A103" s="23" t="s">
        <v>37</v>
      </c>
      <c r="B103" s="23" t="s">
        <v>368</v>
      </c>
      <c r="C103" s="23" t="s">
        <v>369</v>
      </c>
      <c r="D103" s="23" t="s">
        <v>40</v>
      </c>
      <c r="E103">
        <v>32</v>
      </c>
      <c r="F103" s="23" t="s">
        <v>41</v>
      </c>
    </row>
    <row r="104" spans="1:6" x14ac:dyDescent="0.25">
      <c r="A104" s="23" t="s">
        <v>37</v>
      </c>
      <c r="B104" s="23" t="s">
        <v>307</v>
      </c>
      <c r="C104" s="23" t="s">
        <v>308</v>
      </c>
      <c r="D104" s="23" t="s">
        <v>40</v>
      </c>
      <c r="E104">
        <v>33</v>
      </c>
      <c r="F104" s="23" t="s">
        <v>41</v>
      </c>
    </row>
    <row r="105" spans="1:6" x14ac:dyDescent="0.25">
      <c r="A105" s="23" t="s">
        <v>37</v>
      </c>
      <c r="B105" s="23" t="s">
        <v>62</v>
      </c>
      <c r="C105" s="23" t="s">
        <v>63</v>
      </c>
      <c r="D105" s="23" t="s">
        <v>40</v>
      </c>
      <c r="E105">
        <v>152</v>
      </c>
      <c r="F105" s="23" t="s">
        <v>41</v>
      </c>
    </row>
    <row r="106" spans="1:6" x14ac:dyDescent="0.25">
      <c r="A106" s="23" t="s">
        <v>37</v>
      </c>
      <c r="B106" s="23" t="s">
        <v>313</v>
      </c>
      <c r="C106" s="23" t="s">
        <v>314</v>
      </c>
      <c r="D106" s="23" t="s">
        <v>40</v>
      </c>
      <c r="E106">
        <v>15</v>
      </c>
      <c r="F106" s="23" t="s">
        <v>41</v>
      </c>
    </row>
    <row r="107" spans="1:6" x14ac:dyDescent="0.25">
      <c r="A107" s="23" t="s">
        <v>37</v>
      </c>
      <c r="B107" s="23" t="s">
        <v>202</v>
      </c>
      <c r="C107" s="23" t="s">
        <v>203</v>
      </c>
      <c r="D107" s="23" t="s">
        <v>40</v>
      </c>
      <c r="E107">
        <v>76</v>
      </c>
      <c r="F107" s="23" t="s">
        <v>41</v>
      </c>
    </row>
    <row r="108" spans="1:6" x14ac:dyDescent="0.25">
      <c r="A108" s="23" t="s">
        <v>37</v>
      </c>
      <c r="B108" s="23" t="s">
        <v>498</v>
      </c>
      <c r="C108" s="23" t="s">
        <v>499</v>
      </c>
      <c r="D108" s="23" t="s">
        <v>40</v>
      </c>
      <c r="E108">
        <v>42</v>
      </c>
      <c r="F108" s="23" t="s">
        <v>41</v>
      </c>
    </row>
    <row r="109" spans="1:6" x14ac:dyDescent="0.25">
      <c r="A109" s="23" t="s">
        <v>37</v>
      </c>
      <c r="B109" s="23" t="s">
        <v>496</v>
      </c>
      <c r="C109" s="23" t="s">
        <v>497</v>
      </c>
      <c r="D109" s="23" t="s">
        <v>40</v>
      </c>
      <c r="E109">
        <v>221</v>
      </c>
      <c r="F109" s="23" t="s">
        <v>41</v>
      </c>
    </row>
    <row r="110" spans="1:6" x14ac:dyDescent="0.25">
      <c r="A110" s="23" t="s">
        <v>37</v>
      </c>
      <c r="B110" s="23" t="s">
        <v>319</v>
      </c>
      <c r="C110" s="23" t="s">
        <v>320</v>
      </c>
      <c r="D110" s="23" t="s">
        <v>40</v>
      </c>
      <c r="E110">
        <v>33</v>
      </c>
      <c r="F110" s="23" t="s">
        <v>41</v>
      </c>
    </row>
    <row r="111" spans="1:6" x14ac:dyDescent="0.25">
      <c r="A111" s="23" t="s">
        <v>37</v>
      </c>
      <c r="B111" s="23" t="s">
        <v>174</v>
      </c>
      <c r="C111" s="23" t="s">
        <v>175</v>
      </c>
      <c r="D111" s="23" t="s">
        <v>40</v>
      </c>
      <c r="E111">
        <v>42</v>
      </c>
      <c r="F111" s="23" t="s">
        <v>41</v>
      </c>
    </row>
    <row r="112" spans="1:6" x14ac:dyDescent="0.25">
      <c r="A112" s="23" t="s">
        <v>37</v>
      </c>
      <c r="B112" s="23" t="s">
        <v>398</v>
      </c>
      <c r="C112" s="23" t="s">
        <v>399</v>
      </c>
      <c r="D112" s="23" t="s">
        <v>40</v>
      </c>
      <c r="E112">
        <v>48</v>
      </c>
      <c r="F112" s="23" t="s">
        <v>41</v>
      </c>
    </row>
    <row r="113" spans="1:6" x14ac:dyDescent="0.25">
      <c r="A113" s="23" t="s">
        <v>37</v>
      </c>
      <c r="B113" s="23" t="s">
        <v>188</v>
      </c>
      <c r="C113" s="23" t="s">
        <v>189</v>
      </c>
      <c r="D113" s="23" t="s">
        <v>40</v>
      </c>
      <c r="E113">
        <v>28</v>
      </c>
      <c r="F113" s="23" t="s">
        <v>41</v>
      </c>
    </row>
    <row r="114" spans="1:6" x14ac:dyDescent="0.25">
      <c r="A114" s="23" t="s">
        <v>37</v>
      </c>
      <c r="B114" s="23" t="s">
        <v>235</v>
      </c>
      <c r="C114" s="23" t="s">
        <v>236</v>
      </c>
      <c r="D114" s="23" t="s">
        <v>40</v>
      </c>
      <c r="E114">
        <v>12</v>
      </c>
      <c r="F114" s="23" t="s">
        <v>41</v>
      </c>
    </row>
    <row r="115" spans="1:6" x14ac:dyDescent="0.25">
      <c r="A115" s="23" t="s">
        <v>37</v>
      </c>
      <c r="B115" s="23" t="s">
        <v>342</v>
      </c>
      <c r="C115" s="23" t="s">
        <v>343</v>
      </c>
      <c r="D115" s="23" t="s">
        <v>40</v>
      </c>
      <c r="E115">
        <v>40</v>
      </c>
      <c r="F115" s="23" t="s">
        <v>41</v>
      </c>
    </row>
    <row r="116" spans="1:6" x14ac:dyDescent="0.25">
      <c r="A116" s="23" t="s">
        <v>37</v>
      </c>
      <c r="B116" s="23" t="s">
        <v>265</v>
      </c>
      <c r="C116" s="23" t="s">
        <v>266</v>
      </c>
      <c r="D116" s="23" t="s">
        <v>40</v>
      </c>
      <c r="E116">
        <v>57</v>
      </c>
      <c r="F116" s="23" t="s">
        <v>41</v>
      </c>
    </row>
    <row r="117" spans="1:6" x14ac:dyDescent="0.25">
      <c r="A117" s="23" t="s">
        <v>37</v>
      </c>
      <c r="B117" s="23" t="s">
        <v>374</v>
      </c>
      <c r="C117" s="23" t="s">
        <v>375</v>
      </c>
      <c r="D117" s="23" t="s">
        <v>40</v>
      </c>
      <c r="E117">
        <v>31</v>
      </c>
      <c r="F117" s="23" t="s">
        <v>41</v>
      </c>
    </row>
    <row r="118" spans="1:6" x14ac:dyDescent="0.25">
      <c r="A118" s="23" t="s">
        <v>37</v>
      </c>
      <c r="B118" s="23" t="s">
        <v>485</v>
      </c>
      <c r="C118" s="23" t="s">
        <v>486</v>
      </c>
      <c r="D118" s="23" t="s">
        <v>40</v>
      </c>
      <c r="E118">
        <v>33</v>
      </c>
      <c r="F118" s="23" t="s">
        <v>41</v>
      </c>
    </row>
    <row r="119" spans="1:6" x14ac:dyDescent="0.25">
      <c r="A119" s="23" t="s">
        <v>37</v>
      </c>
      <c r="B119" s="23" t="s">
        <v>528</v>
      </c>
      <c r="C119" s="23" t="s">
        <v>529</v>
      </c>
      <c r="D119" s="23" t="s">
        <v>40</v>
      </c>
      <c r="E119">
        <v>43</v>
      </c>
      <c r="F119" s="23" t="s">
        <v>41</v>
      </c>
    </row>
    <row r="120" spans="1:6" x14ac:dyDescent="0.25">
      <c r="A120" s="23" t="s">
        <v>37</v>
      </c>
      <c r="B120" s="23" t="s">
        <v>563</v>
      </c>
      <c r="C120" s="23" t="s">
        <v>564</v>
      </c>
      <c r="D120" s="23" t="s">
        <v>40</v>
      </c>
      <c r="E120">
        <v>12</v>
      </c>
      <c r="F120" s="23" t="s">
        <v>41</v>
      </c>
    </row>
    <row r="121" spans="1:6" x14ac:dyDescent="0.25">
      <c r="A121" s="23" t="s">
        <v>37</v>
      </c>
      <c r="B121" s="23" t="s">
        <v>585</v>
      </c>
      <c r="C121" s="23" t="s">
        <v>152</v>
      </c>
      <c r="D121" s="23" t="s">
        <v>40</v>
      </c>
      <c r="E121">
        <v>52</v>
      </c>
      <c r="F121" s="23" t="s">
        <v>41</v>
      </c>
    </row>
    <row r="122" spans="1:6" x14ac:dyDescent="0.25">
      <c r="A122" s="23" t="s">
        <v>37</v>
      </c>
      <c r="B122" s="23" t="s">
        <v>190</v>
      </c>
      <c r="C122" s="23" t="s">
        <v>191</v>
      </c>
      <c r="D122" s="23" t="s">
        <v>40</v>
      </c>
      <c r="E122">
        <v>12</v>
      </c>
      <c r="F122" s="23" t="s">
        <v>41</v>
      </c>
    </row>
    <row r="123" spans="1:6" x14ac:dyDescent="0.25">
      <c r="A123" s="23" t="s">
        <v>37</v>
      </c>
      <c r="B123" s="23" t="s">
        <v>151</v>
      </c>
      <c r="C123" s="23" t="s">
        <v>152</v>
      </c>
      <c r="D123" s="23" t="s">
        <v>40</v>
      </c>
      <c r="E123">
        <v>108</v>
      </c>
      <c r="F123" s="23" t="s">
        <v>41</v>
      </c>
    </row>
    <row r="124" spans="1:6" x14ac:dyDescent="0.25">
      <c r="A124" s="23" t="s">
        <v>37</v>
      </c>
      <c r="B124" s="23" t="s">
        <v>149</v>
      </c>
      <c r="C124" s="23" t="s">
        <v>150</v>
      </c>
      <c r="D124" s="23" t="s">
        <v>40</v>
      </c>
      <c r="E124">
        <v>14</v>
      </c>
      <c r="F124" s="23" t="s">
        <v>41</v>
      </c>
    </row>
    <row r="125" spans="1:6" x14ac:dyDescent="0.25">
      <c r="A125" s="23" t="s">
        <v>37</v>
      </c>
      <c r="B125" s="23" t="s">
        <v>546</v>
      </c>
      <c r="C125" s="23" t="s">
        <v>458</v>
      </c>
      <c r="D125" s="23" t="s">
        <v>40</v>
      </c>
      <c r="E125">
        <v>43</v>
      </c>
      <c r="F125" s="23" t="s">
        <v>41</v>
      </c>
    </row>
    <row r="126" spans="1:6" x14ac:dyDescent="0.25">
      <c r="A126" s="23" t="s">
        <v>37</v>
      </c>
      <c r="B126" s="23" t="s">
        <v>729</v>
      </c>
      <c r="C126" s="23" t="s">
        <v>730</v>
      </c>
      <c r="D126" s="23" t="s">
        <v>40</v>
      </c>
      <c r="E126">
        <v>69</v>
      </c>
      <c r="F126" s="23" t="s">
        <v>41</v>
      </c>
    </row>
    <row r="127" spans="1:6" x14ac:dyDescent="0.25">
      <c r="A127" s="23" t="s">
        <v>37</v>
      </c>
      <c r="B127" s="23" t="s">
        <v>469</v>
      </c>
      <c r="C127" s="23" t="s">
        <v>470</v>
      </c>
      <c r="D127" s="23" t="s">
        <v>40</v>
      </c>
      <c r="E127">
        <v>201</v>
      </c>
      <c r="F127" s="23" t="s">
        <v>41</v>
      </c>
    </row>
    <row r="128" spans="1:6" x14ac:dyDescent="0.25">
      <c r="A128" s="23" t="s">
        <v>37</v>
      </c>
      <c r="B128" s="23" t="s">
        <v>457</v>
      </c>
      <c r="C128" s="23" t="s">
        <v>458</v>
      </c>
      <c r="D128" s="23" t="s">
        <v>40</v>
      </c>
      <c r="E128">
        <v>174</v>
      </c>
      <c r="F128" s="23" t="s">
        <v>41</v>
      </c>
    </row>
    <row r="129" spans="1:6" x14ac:dyDescent="0.25">
      <c r="A129" s="23" t="s">
        <v>37</v>
      </c>
      <c r="B129" s="23" t="s">
        <v>68</v>
      </c>
      <c r="C129" s="23" t="s">
        <v>69</v>
      </c>
      <c r="D129" s="23" t="s">
        <v>40</v>
      </c>
      <c r="E129">
        <v>179</v>
      </c>
      <c r="F129" s="23" t="s">
        <v>41</v>
      </c>
    </row>
    <row r="130" spans="1:6" x14ac:dyDescent="0.25">
      <c r="A130" s="23" t="s">
        <v>37</v>
      </c>
      <c r="B130" s="23" t="s">
        <v>104</v>
      </c>
      <c r="C130" s="23" t="s">
        <v>105</v>
      </c>
      <c r="D130" s="23" t="s">
        <v>40</v>
      </c>
      <c r="E130">
        <v>540</v>
      </c>
      <c r="F130" s="23" t="s">
        <v>41</v>
      </c>
    </row>
    <row r="131" spans="1:6" x14ac:dyDescent="0.25">
      <c r="A131" s="23" t="s">
        <v>37</v>
      </c>
      <c r="B131" s="23" t="s">
        <v>510</v>
      </c>
      <c r="C131" s="23" t="s">
        <v>511</v>
      </c>
      <c r="D131" s="23" t="s">
        <v>40</v>
      </c>
      <c r="E131">
        <v>198.00000000000003</v>
      </c>
      <c r="F131" s="23" t="s">
        <v>41</v>
      </c>
    </row>
    <row r="132" spans="1:6" x14ac:dyDescent="0.25">
      <c r="A132" s="23" t="s">
        <v>37</v>
      </c>
      <c r="B132" s="23" t="s">
        <v>725</v>
      </c>
      <c r="C132" s="23" t="s">
        <v>726</v>
      </c>
      <c r="D132" s="23" t="s">
        <v>40</v>
      </c>
      <c r="E132">
        <v>42</v>
      </c>
      <c r="F132" s="23" t="s">
        <v>41</v>
      </c>
    </row>
    <row r="133" spans="1:6" x14ac:dyDescent="0.25">
      <c r="A133" s="23" t="s">
        <v>37</v>
      </c>
      <c r="B133" s="23" t="s">
        <v>291</v>
      </c>
      <c r="C133" s="23" t="s">
        <v>292</v>
      </c>
      <c r="D133" s="23" t="s">
        <v>40</v>
      </c>
      <c r="E133">
        <v>24</v>
      </c>
      <c r="F133" s="23" t="s">
        <v>41</v>
      </c>
    </row>
    <row r="134" spans="1:6" x14ac:dyDescent="0.25">
      <c r="A134" s="23" t="s">
        <v>37</v>
      </c>
      <c r="B134" s="23" t="s">
        <v>415</v>
      </c>
      <c r="C134" s="23" t="s">
        <v>416</v>
      </c>
      <c r="D134" s="23" t="s">
        <v>40</v>
      </c>
      <c r="E134">
        <v>24</v>
      </c>
      <c r="F134" s="23" t="s">
        <v>41</v>
      </c>
    </row>
    <row r="135" spans="1:6" x14ac:dyDescent="0.25">
      <c r="A135" s="23" t="s">
        <v>37</v>
      </c>
      <c r="B135" s="23" t="s">
        <v>153</v>
      </c>
      <c r="C135" s="23" t="s">
        <v>154</v>
      </c>
      <c r="D135" s="23" t="s">
        <v>40</v>
      </c>
      <c r="E135">
        <v>86</v>
      </c>
      <c r="F135" s="23" t="s">
        <v>41</v>
      </c>
    </row>
    <row r="136" spans="1:6" x14ac:dyDescent="0.25">
      <c r="A136" s="23" t="s">
        <v>37</v>
      </c>
      <c r="B136" s="23" t="s">
        <v>214</v>
      </c>
      <c r="C136" s="23" t="s">
        <v>215</v>
      </c>
      <c r="D136" s="23" t="s">
        <v>40</v>
      </c>
      <c r="E136">
        <v>36</v>
      </c>
      <c r="F136" s="23" t="s">
        <v>41</v>
      </c>
    </row>
    <row r="137" spans="1:6" x14ac:dyDescent="0.25">
      <c r="A137" s="23" t="s">
        <v>37</v>
      </c>
      <c r="B137" s="23" t="s">
        <v>251</v>
      </c>
      <c r="C137" s="23" t="s">
        <v>252</v>
      </c>
      <c r="D137" s="23" t="s">
        <v>40</v>
      </c>
      <c r="E137">
        <v>29</v>
      </c>
      <c r="F137" s="23" t="s">
        <v>41</v>
      </c>
    </row>
    <row r="138" spans="1:6" x14ac:dyDescent="0.25">
      <c r="A138" s="23" t="s">
        <v>735</v>
      </c>
      <c r="B138" s="23" t="s">
        <v>251</v>
      </c>
      <c r="C138" s="23" t="s">
        <v>252</v>
      </c>
      <c r="D138" s="23" t="s">
        <v>40</v>
      </c>
      <c r="E138">
        <v>12</v>
      </c>
      <c r="F138" s="23" t="s">
        <v>41</v>
      </c>
    </row>
    <row r="139" spans="1:6" x14ac:dyDescent="0.25">
      <c r="A139" s="23" t="s">
        <v>37</v>
      </c>
      <c r="B139" s="23" t="s">
        <v>297</v>
      </c>
      <c r="C139" s="23" t="s">
        <v>298</v>
      </c>
      <c r="D139" s="23" t="s">
        <v>40</v>
      </c>
      <c r="E139">
        <v>33</v>
      </c>
      <c r="F139" s="23" t="s">
        <v>41</v>
      </c>
    </row>
    <row r="140" spans="1:6" x14ac:dyDescent="0.25">
      <c r="A140" s="23" t="s">
        <v>37</v>
      </c>
      <c r="B140" s="23" t="s">
        <v>471</v>
      </c>
      <c r="C140" s="23" t="s">
        <v>472</v>
      </c>
      <c r="D140" s="23" t="s">
        <v>40</v>
      </c>
      <c r="E140">
        <v>12</v>
      </c>
      <c r="F140" s="23" t="s">
        <v>41</v>
      </c>
    </row>
    <row r="141" spans="1:6" x14ac:dyDescent="0.25">
      <c r="A141" s="23" t="s">
        <v>37</v>
      </c>
      <c r="B141" s="23" t="s">
        <v>504</v>
      </c>
      <c r="C141" s="23" t="s">
        <v>505</v>
      </c>
      <c r="D141" s="23" t="s">
        <v>40</v>
      </c>
      <c r="E141">
        <v>12</v>
      </c>
      <c r="F141" s="23" t="s">
        <v>41</v>
      </c>
    </row>
    <row r="142" spans="1:6" x14ac:dyDescent="0.25">
      <c r="A142" s="23" t="s">
        <v>37</v>
      </c>
      <c r="B142" s="23" t="s">
        <v>547</v>
      </c>
      <c r="C142" s="23" t="s">
        <v>548</v>
      </c>
      <c r="D142" s="23" t="s">
        <v>40</v>
      </c>
      <c r="E142">
        <v>48</v>
      </c>
      <c r="F142" s="23" t="s">
        <v>41</v>
      </c>
    </row>
    <row r="143" spans="1:6" x14ac:dyDescent="0.25">
      <c r="A143" s="23" t="s">
        <v>37</v>
      </c>
      <c r="B143" s="23" t="s">
        <v>370</v>
      </c>
      <c r="C143" s="23" t="s">
        <v>371</v>
      </c>
      <c r="D143" s="23" t="s">
        <v>40</v>
      </c>
      <c r="E143">
        <v>39</v>
      </c>
      <c r="F143" s="23" t="s">
        <v>41</v>
      </c>
    </row>
    <row r="144" spans="1:6" x14ac:dyDescent="0.25">
      <c r="A144" s="23" t="s">
        <v>37</v>
      </c>
      <c r="B144" s="23" t="s">
        <v>520</v>
      </c>
      <c r="C144" s="23" t="s">
        <v>521</v>
      </c>
      <c r="D144" s="23" t="s">
        <v>40</v>
      </c>
      <c r="E144">
        <v>2</v>
      </c>
      <c r="F144" s="23" t="s">
        <v>41</v>
      </c>
    </row>
    <row r="145" spans="1:6" x14ac:dyDescent="0.25">
      <c r="A145" s="23" t="s">
        <v>37</v>
      </c>
      <c r="B145" s="23" t="s">
        <v>364</v>
      </c>
      <c r="C145" s="23" t="s">
        <v>365</v>
      </c>
      <c r="D145" s="23" t="s">
        <v>40</v>
      </c>
      <c r="E145">
        <v>4</v>
      </c>
      <c r="F145" s="23" t="s">
        <v>41</v>
      </c>
    </row>
    <row r="146" spans="1:6" x14ac:dyDescent="0.25">
      <c r="A146" s="23" t="s">
        <v>37</v>
      </c>
      <c r="B146" s="23" t="s">
        <v>273</v>
      </c>
      <c r="C146" s="23" t="s">
        <v>274</v>
      </c>
      <c r="D146" s="23" t="s">
        <v>40</v>
      </c>
      <c r="E146">
        <v>9</v>
      </c>
      <c r="F146" s="23" t="s">
        <v>41</v>
      </c>
    </row>
    <row r="147" spans="1:6" x14ac:dyDescent="0.25">
      <c r="A147" s="23" t="s">
        <v>37</v>
      </c>
      <c r="B147" s="23" t="s">
        <v>279</v>
      </c>
      <c r="C147" s="23" t="s">
        <v>280</v>
      </c>
      <c r="D147" s="23" t="s">
        <v>40</v>
      </c>
      <c r="E147">
        <v>4</v>
      </c>
      <c r="F147" s="23" t="s">
        <v>41</v>
      </c>
    </row>
    <row r="148" spans="1:6" x14ac:dyDescent="0.25">
      <c r="A148" s="23" t="s">
        <v>37</v>
      </c>
      <c r="B148" s="23" t="s">
        <v>594</v>
      </c>
      <c r="C148" s="23" t="s">
        <v>595</v>
      </c>
      <c r="D148" s="23" t="s">
        <v>40</v>
      </c>
      <c r="E148">
        <v>12</v>
      </c>
      <c r="F148" s="23" t="s">
        <v>41</v>
      </c>
    </row>
    <row r="149" spans="1:6" x14ac:dyDescent="0.25">
      <c r="A149" s="23" t="s">
        <v>37</v>
      </c>
      <c r="B149" s="23" t="s">
        <v>200</v>
      </c>
      <c r="C149" s="23" t="s">
        <v>201</v>
      </c>
      <c r="D149" s="23" t="s">
        <v>40</v>
      </c>
      <c r="E149">
        <v>6</v>
      </c>
      <c r="F149" s="23" t="s">
        <v>41</v>
      </c>
    </row>
    <row r="150" spans="1:6" x14ac:dyDescent="0.25">
      <c r="A150" s="23" t="s">
        <v>37</v>
      </c>
      <c r="B150" s="23" t="s">
        <v>643</v>
      </c>
      <c r="C150" s="23" t="s">
        <v>644</v>
      </c>
      <c r="D150" s="23" t="s">
        <v>40</v>
      </c>
      <c r="E150">
        <v>12</v>
      </c>
      <c r="F150" s="23" t="s">
        <v>41</v>
      </c>
    </row>
    <row r="151" spans="1:6" x14ac:dyDescent="0.25">
      <c r="A151" s="23" t="s">
        <v>37</v>
      </c>
      <c r="B151" s="23" t="s">
        <v>161</v>
      </c>
      <c r="C151" s="23" t="s">
        <v>162</v>
      </c>
      <c r="D151" s="23" t="s">
        <v>40</v>
      </c>
      <c r="E151">
        <v>40</v>
      </c>
      <c r="F151" s="23" t="s">
        <v>41</v>
      </c>
    </row>
    <row r="152" spans="1:6" x14ac:dyDescent="0.25">
      <c r="A152" s="23" t="s">
        <v>37</v>
      </c>
      <c r="B152" s="23" t="s">
        <v>94</v>
      </c>
      <c r="C152" s="23" t="s">
        <v>95</v>
      </c>
      <c r="D152" s="23" t="s">
        <v>40</v>
      </c>
      <c r="E152">
        <v>517</v>
      </c>
      <c r="F152" s="23" t="s">
        <v>41</v>
      </c>
    </row>
    <row r="153" spans="1:6" x14ac:dyDescent="0.25">
      <c r="A153" s="23" t="s">
        <v>37</v>
      </c>
      <c r="B153" s="23" t="s">
        <v>625</v>
      </c>
      <c r="C153" s="23" t="s">
        <v>626</v>
      </c>
      <c r="D153" s="23" t="s">
        <v>40</v>
      </c>
      <c r="E153">
        <v>21</v>
      </c>
      <c r="F153" s="23" t="s">
        <v>41</v>
      </c>
    </row>
    <row r="154" spans="1:6" x14ac:dyDescent="0.25">
      <c r="A154" s="23" t="s">
        <v>37</v>
      </c>
      <c r="B154" s="23" t="s">
        <v>553</v>
      </c>
      <c r="C154" s="23" t="s">
        <v>554</v>
      </c>
      <c r="D154" s="23" t="s">
        <v>40</v>
      </c>
      <c r="E154">
        <v>16</v>
      </c>
      <c r="F154" s="23" t="s">
        <v>41</v>
      </c>
    </row>
    <row r="155" spans="1:6" x14ac:dyDescent="0.25">
      <c r="A155" s="23" t="s">
        <v>735</v>
      </c>
      <c r="B155" s="23" t="s">
        <v>742</v>
      </c>
      <c r="C155" s="23" t="s">
        <v>743</v>
      </c>
      <c r="D155" s="23" t="s">
        <v>40</v>
      </c>
      <c r="E155">
        <v>36</v>
      </c>
      <c r="F155" s="23" t="s">
        <v>41</v>
      </c>
    </row>
    <row r="156" spans="1:6" x14ac:dyDescent="0.25">
      <c r="A156" s="23" t="s">
        <v>37</v>
      </c>
      <c r="B156" s="23" t="s">
        <v>549</v>
      </c>
      <c r="C156" s="23" t="s">
        <v>550</v>
      </c>
      <c r="D156" s="23" t="s">
        <v>40</v>
      </c>
      <c r="E156">
        <v>39</v>
      </c>
      <c r="F156" s="23" t="s">
        <v>41</v>
      </c>
    </row>
    <row r="157" spans="1:6" x14ac:dyDescent="0.25">
      <c r="A157" s="23" t="s">
        <v>37</v>
      </c>
      <c r="B157" s="23" t="s">
        <v>323</v>
      </c>
      <c r="C157" s="23" t="s">
        <v>324</v>
      </c>
      <c r="D157" s="23" t="s">
        <v>40</v>
      </c>
      <c r="E157">
        <v>124</v>
      </c>
      <c r="F157" s="23" t="s">
        <v>41</v>
      </c>
    </row>
    <row r="158" spans="1:6" x14ac:dyDescent="0.25">
      <c r="A158" s="23" t="s">
        <v>37</v>
      </c>
      <c r="B158" s="23" t="s">
        <v>127</v>
      </c>
      <c r="C158" s="23" t="s">
        <v>128</v>
      </c>
      <c r="D158" s="23" t="s">
        <v>40</v>
      </c>
      <c r="E158">
        <v>288</v>
      </c>
      <c r="F158" s="23" t="s">
        <v>41</v>
      </c>
    </row>
    <row r="159" spans="1:6" x14ac:dyDescent="0.25">
      <c r="A159" s="23" t="s">
        <v>37</v>
      </c>
      <c r="B159" s="23" t="s">
        <v>212</v>
      </c>
      <c r="C159" s="23" t="s">
        <v>213</v>
      </c>
      <c r="D159" s="23" t="s">
        <v>40</v>
      </c>
      <c r="E159">
        <v>104.99999999999999</v>
      </c>
      <c r="F159" s="23" t="s">
        <v>41</v>
      </c>
    </row>
    <row r="160" spans="1:6" x14ac:dyDescent="0.25">
      <c r="A160" s="23" t="s">
        <v>37</v>
      </c>
      <c r="B160" s="23" t="s">
        <v>483</v>
      </c>
      <c r="C160" s="23" t="s">
        <v>484</v>
      </c>
      <c r="D160" s="23" t="s">
        <v>40</v>
      </c>
      <c r="E160">
        <v>163</v>
      </c>
      <c r="F160" s="23" t="s">
        <v>41</v>
      </c>
    </row>
    <row r="161" spans="1:6" x14ac:dyDescent="0.25">
      <c r="A161" s="23" t="s">
        <v>37</v>
      </c>
      <c r="B161" s="23" t="s">
        <v>649</v>
      </c>
      <c r="C161" s="23" t="s">
        <v>650</v>
      </c>
      <c r="D161" s="23" t="s">
        <v>40</v>
      </c>
      <c r="E161">
        <v>55</v>
      </c>
      <c r="F161" s="23" t="s">
        <v>41</v>
      </c>
    </row>
    <row r="162" spans="1:6" x14ac:dyDescent="0.25">
      <c r="A162" s="23" t="s">
        <v>37</v>
      </c>
      <c r="B162" s="23" t="s">
        <v>48</v>
      </c>
      <c r="C162" s="23" t="s">
        <v>49</v>
      </c>
      <c r="D162" s="23" t="s">
        <v>40</v>
      </c>
      <c r="E162">
        <v>324</v>
      </c>
      <c r="F162" s="23" t="s">
        <v>41</v>
      </c>
    </row>
    <row r="163" spans="1:6" x14ac:dyDescent="0.25">
      <c r="A163" s="23" t="s">
        <v>37</v>
      </c>
      <c r="B163" s="23" t="s">
        <v>255</v>
      </c>
      <c r="C163" s="23" t="s">
        <v>256</v>
      </c>
      <c r="D163" s="23" t="s">
        <v>40</v>
      </c>
      <c r="E163">
        <v>33</v>
      </c>
      <c r="F163" s="23" t="s">
        <v>41</v>
      </c>
    </row>
    <row r="164" spans="1:6" x14ac:dyDescent="0.25">
      <c r="A164" s="23" t="s">
        <v>37</v>
      </c>
      <c r="B164" s="23" t="s">
        <v>208</v>
      </c>
      <c r="C164" s="23" t="s">
        <v>209</v>
      </c>
      <c r="D164" s="23" t="s">
        <v>40</v>
      </c>
      <c r="E164">
        <v>84</v>
      </c>
      <c r="F164" s="23" t="s">
        <v>41</v>
      </c>
    </row>
    <row r="165" spans="1:6" x14ac:dyDescent="0.25">
      <c r="A165" s="23" t="s">
        <v>37</v>
      </c>
      <c r="B165" s="23" t="s">
        <v>645</v>
      </c>
      <c r="C165" s="23" t="s">
        <v>646</v>
      </c>
      <c r="D165" s="23" t="s">
        <v>40</v>
      </c>
      <c r="E165">
        <v>84</v>
      </c>
      <c r="F165" s="23" t="s">
        <v>41</v>
      </c>
    </row>
    <row r="166" spans="1:6" x14ac:dyDescent="0.25">
      <c r="A166" s="23" t="s">
        <v>37</v>
      </c>
      <c r="B166" s="23" t="s">
        <v>380</v>
      </c>
      <c r="C166" s="23" t="s">
        <v>381</v>
      </c>
      <c r="D166" s="23" t="s">
        <v>40</v>
      </c>
      <c r="E166">
        <v>72</v>
      </c>
      <c r="F166" s="23" t="s">
        <v>41</v>
      </c>
    </row>
    <row r="167" spans="1:6" x14ac:dyDescent="0.25">
      <c r="A167" s="23" t="s">
        <v>37</v>
      </c>
      <c r="B167" s="23" t="s">
        <v>56</v>
      </c>
      <c r="C167" s="23" t="s">
        <v>57</v>
      </c>
      <c r="D167" s="23" t="s">
        <v>40</v>
      </c>
      <c r="E167">
        <v>528</v>
      </c>
      <c r="F167" s="23" t="s">
        <v>41</v>
      </c>
    </row>
    <row r="168" spans="1:6" x14ac:dyDescent="0.25">
      <c r="A168" s="23" t="s">
        <v>37</v>
      </c>
      <c r="B168" s="23" t="s">
        <v>70</v>
      </c>
      <c r="C168" s="23" t="s">
        <v>71</v>
      </c>
      <c r="D168" s="23" t="s">
        <v>40</v>
      </c>
      <c r="E168">
        <v>240</v>
      </c>
      <c r="F168" s="23" t="s">
        <v>41</v>
      </c>
    </row>
    <row r="169" spans="1:6" x14ac:dyDescent="0.25">
      <c r="A169" s="23" t="s">
        <v>37</v>
      </c>
      <c r="B169" s="23" t="s">
        <v>633</v>
      </c>
      <c r="C169" s="23" t="s">
        <v>634</v>
      </c>
      <c r="D169" s="23" t="s">
        <v>40</v>
      </c>
      <c r="E169">
        <v>12</v>
      </c>
      <c r="F169" s="23" t="s">
        <v>41</v>
      </c>
    </row>
    <row r="170" spans="1:6" x14ac:dyDescent="0.25">
      <c r="A170" s="23" t="s">
        <v>37</v>
      </c>
      <c r="B170" s="23" t="s">
        <v>614</v>
      </c>
      <c r="C170" s="23" t="s">
        <v>615</v>
      </c>
      <c r="D170" s="23" t="s">
        <v>40</v>
      </c>
      <c r="E170">
        <v>72</v>
      </c>
      <c r="F170" s="23" t="s">
        <v>41</v>
      </c>
    </row>
    <row r="171" spans="1:6" x14ac:dyDescent="0.25">
      <c r="A171" s="23" t="s">
        <v>735</v>
      </c>
      <c r="B171" s="23" t="s">
        <v>784</v>
      </c>
      <c r="C171" s="23" t="s">
        <v>785</v>
      </c>
      <c r="D171" s="23" t="s">
        <v>40</v>
      </c>
      <c r="E171">
        <v>11</v>
      </c>
      <c r="F171" s="23" t="s">
        <v>41</v>
      </c>
    </row>
    <row r="172" spans="1:6" x14ac:dyDescent="0.25">
      <c r="A172" s="23" t="s">
        <v>37</v>
      </c>
      <c r="B172" s="23" t="s">
        <v>239</v>
      </c>
      <c r="C172" s="23" t="s">
        <v>240</v>
      </c>
      <c r="D172" s="23" t="s">
        <v>40</v>
      </c>
      <c r="E172">
        <v>4</v>
      </c>
      <c r="F172" s="23" t="s">
        <v>41</v>
      </c>
    </row>
    <row r="173" spans="1:6" x14ac:dyDescent="0.25">
      <c r="A173" s="23" t="s">
        <v>735</v>
      </c>
      <c r="B173" s="23" t="s">
        <v>239</v>
      </c>
      <c r="C173" s="23" t="s">
        <v>240</v>
      </c>
      <c r="D173" s="23" t="s">
        <v>40</v>
      </c>
      <c r="E173">
        <v>9</v>
      </c>
      <c r="F173" s="23" t="s">
        <v>41</v>
      </c>
    </row>
    <row r="174" spans="1:6" x14ac:dyDescent="0.25">
      <c r="A174" s="23" t="s">
        <v>37</v>
      </c>
      <c r="B174" s="23" t="s">
        <v>237</v>
      </c>
      <c r="C174" s="23" t="s">
        <v>238</v>
      </c>
      <c r="D174" s="23" t="s">
        <v>40</v>
      </c>
      <c r="E174">
        <v>7</v>
      </c>
      <c r="F174" s="23" t="s">
        <v>41</v>
      </c>
    </row>
    <row r="175" spans="1:6" x14ac:dyDescent="0.25">
      <c r="A175" s="23" t="s">
        <v>37</v>
      </c>
      <c r="B175" s="23" t="s">
        <v>390</v>
      </c>
      <c r="C175" s="23" t="s">
        <v>391</v>
      </c>
      <c r="D175" s="23" t="s">
        <v>40</v>
      </c>
      <c r="E175">
        <v>9</v>
      </c>
      <c r="F175" s="23" t="s">
        <v>41</v>
      </c>
    </row>
    <row r="176" spans="1:6" x14ac:dyDescent="0.25">
      <c r="A176" s="23" t="s">
        <v>735</v>
      </c>
      <c r="B176" s="23" t="s">
        <v>390</v>
      </c>
      <c r="C176" s="23" t="s">
        <v>391</v>
      </c>
      <c r="D176" s="23" t="s">
        <v>40</v>
      </c>
      <c r="E176">
        <v>3</v>
      </c>
      <c r="F176" s="23" t="s">
        <v>41</v>
      </c>
    </row>
    <row r="177" spans="1:6" x14ac:dyDescent="0.25">
      <c r="A177" s="23" t="s">
        <v>37</v>
      </c>
      <c r="B177" s="23" t="s">
        <v>192</v>
      </c>
      <c r="C177" s="23" t="s">
        <v>193</v>
      </c>
      <c r="D177" s="23" t="s">
        <v>40</v>
      </c>
      <c r="E177">
        <v>22</v>
      </c>
      <c r="F177" s="23" t="s">
        <v>41</v>
      </c>
    </row>
    <row r="178" spans="1:6" x14ac:dyDescent="0.25">
      <c r="A178" s="23" t="s">
        <v>37</v>
      </c>
      <c r="B178" s="23" t="s">
        <v>204</v>
      </c>
      <c r="C178" s="23" t="s">
        <v>205</v>
      </c>
      <c r="D178" s="23" t="s">
        <v>40</v>
      </c>
      <c r="E178">
        <v>6</v>
      </c>
      <c r="F178" s="23" t="s">
        <v>41</v>
      </c>
    </row>
    <row r="179" spans="1:6" x14ac:dyDescent="0.25">
      <c r="A179" s="23" t="s">
        <v>735</v>
      </c>
      <c r="B179" s="23" t="s">
        <v>204</v>
      </c>
      <c r="C179" s="23" t="s">
        <v>205</v>
      </c>
      <c r="D179" s="23" t="s">
        <v>40</v>
      </c>
      <c r="E179">
        <v>3</v>
      </c>
      <c r="F179" s="23" t="s">
        <v>41</v>
      </c>
    </row>
    <row r="180" spans="1:6" x14ac:dyDescent="0.25">
      <c r="A180" s="23" t="s">
        <v>37</v>
      </c>
      <c r="B180" s="23" t="s">
        <v>231</v>
      </c>
      <c r="C180" s="23" t="s">
        <v>232</v>
      </c>
      <c r="D180" s="23" t="s">
        <v>40</v>
      </c>
      <c r="E180">
        <v>28</v>
      </c>
      <c r="F180" s="23" t="s">
        <v>41</v>
      </c>
    </row>
    <row r="181" spans="1:6" x14ac:dyDescent="0.25">
      <c r="A181" s="23" t="s">
        <v>735</v>
      </c>
      <c r="B181" s="23" t="s">
        <v>231</v>
      </c>
      <c r="C181" s="23" t="s">
        <v>232</v>
      </c>
      <c r="D181" s="23" t="s">
        <v>40</v>
      </c>
      <c r="E181">
        <v>4</v>
      </c>
      <c r="F181" s="23" t="s">
        <v>41</v>
      </c>
    </row>
    <row r="182" spans="1:6" x14ac:dyDescent="0.25">
      <c r="A182" s="23" t="s">
        <v>37</v>
      </c>
      <c r="B182" s="23" t="s">
        <v>635</v>
      </c>
      <c r="C182" s="23" t="s">
        <v>636</v>
      </c>
      <c r="D182" s="23" t="s">
        <v>40</v>
      </c>
      <c r="E182">
        <v>30</v>
      </c>
      <c r="F182" s="23" t="s">
        <v>41</v>
      </c>
    </row>
    <row r="183" spans="1:6" x14ac:dyDescent="0.25">
      <c r="A183" s="23" t="s">
        <v>735</v>
      </c>
      <c r="B183" s="23" t="s">
        <v>635</v>
      </c>
      <c r="C183" s="23" t="s">
        <v>636</v>
      </c>
      <c r="D183" s="23" t="s">
        <v>40</v>
      </c>
      <c r="E183">
        <v>4</v>
      </c>
      <c r="F183" s="23" t="s">
        <v>41</v>
      </c>
    </row>
    <row r="184" spans="1:6" x14ac:dyDescent="0.25">
      <c r="A184" s="23" t="s">
        <v>37</v>
      </c>
      <c r="B184" s="23" t="s">
        <v>245</v>
      </c>
      <c r="C184" s="23" t="s">
        <v>246</v>
      </c>
      <c r="D184" s="23" t="s">
        <v>40</v>
      </c>
      <c r="E184">
        <v>20</v>
      </c>
      <c r="F184" s="23" t="s">
        <v>41</v>
      </c>
    </row>
    <row r="185" spans="1:6" x14ac:dyDescent="0.25">
      <c r="A185" s="23" t="s">
        <v>37</v>
      </c>
      <c r="B185" s="23" t="s">
        <v>384</v>
      </c>
      <c r="C185" s="23" t="s">
        <v>385</v>
      </c>
      <c r="D185" s="23" t="s">
        <v>40</v>
      </c>
      <c r="E185">
        <v>22</v>
      </c>
      <c r="F185" s="23" t="s">
        <v>41</v>
      </c>
    </row>
    <row r="186" spans="1:6" x14ac:dyDescent="0.25">
      <c r="A186" s="23" t="s">
        <v>37</v>
      </c>
      <c r="B186" s="23" t="s">
        <v>366</v>
      </c>
      <c r="C186" s="23" t="s">
        <v>367</v>
      </c>
      <c r="D186" s="23" t="s">
        <v>40</v>
      </c>
      <c r="E186">
        <v>61</v>
      </c>
      <c r="F186" s="23" t="s">
        <v>41</v>
      </c>
    </row>
    <row r="187" spans="1:6" x14ac:dyDescent="0.25">
      <c r="A187" s="23" t="s">
        <v>37</v>
      </c>
      <c r="B187" s="23" t="s">
        <v>586</v>
      </c>
      <c r="C187" s="23" t="s">
        <v>587</v>
      </c>
      <c r="D187" s="23" t="s">
        <v>40</v>
      </c>
      <c r="E187">
        <v>37</v>
      </c>
      <c r="F187" s="23" t="s">
        <v>41</v>
      </c>
    </row>
    <row r="188" spans="1:6" x14ac:dyDescent="0.25">
      <c r="A188" s="23" t="s">
        <v>37</v>
      </c>
      <c r="B188" s="23" t="s">
        <v>659</v>
      </c>
      <c r="C188" s="23" t="s">
        <v>660</v>
      </c>
      <c r="D188" s="23" t="s">
        <v>40</v>
      </c>
      <c r="E188">
        <v>18</v>
      </c>
      <c r="F188" s="23" t="s">
        <v>41</v>
      </c>
    </row>
    <row r="189" spans="1:6" x14ac:dyDescent="0.25">
      <c r="A189" s="23" t="s">
        <v>735</v>
      </c>
      <c r="B189" s="23" t="s">
        <v>764</v>
      </c>
      <c r="C189" s="23" t="s">
        <v>765</v>
      </c>
      <c r="D189" s="23" t="s">
        <v>40</v>
      </c>
      <c r="E189">
        <v>18</v>
      </c>
      <c r="F189" s="23" t="s">
        <v>41</v>
      </c>
    </row>
    <row r="190" spans="1:6" x14ac:dyDescent="0.25">
      <c r="A190" s="23" t="s">
        <v>37</v>
      </c>
      <c r="B190" s="23" t="s">
        <v>401</v>
      </c>
      <c r="C190" s="23" t="s">
        <v>402</v>
      </c>
      <c r="D190" s="23" t="s">
        <v>40</v>
      </c>
      <c r="E190">
        <v>41</v>
      </c>
      <c r="F190" s="23" t="s">
        <v>41</v>
      </c>
    </row>
    <row r="191" spans="1:6" x14ac:dyDescent="0.25">
      <c r="A191" s="23" t="s">
        <v>735</v>
      </c>
      <c r="B191" s="23" t="s">
        <v>401</v>
      </c>
      <c r="C191" s="23" t="s">
        <v>402</v>
      </c>
      <c r="D191" s="23" t="s">
        <v>40</v>
      </c>
      <c r="E191">
        <v>12</v>
      </c>
      <c r="F191" s="23" t="s">
        <v>41</v>
      </c>
    </row>
    <row r="192" spans="1:6" x14ac:dyDescent="0.25">
      <c r="A192" s="23" t="s">
        <v>37</v>
      </c>
      <c r="B192" s="23" t="s">
        <v>84</v>
      </c>
      <c r="C192" s="23" t="s">
        <v>85</v>
      </c>
      <c r="D192" s="23" t="s">
        <v>40</v>
      </c>
      <c r="E192">
        <v>289</v>
      </c>
      <c r="F192" s="23" t="s">
        <v>41</v>
      </c>
    </row>
    <row r="193" spans="1:6" x14ac:dyDescent="0.25">
      <c r="A193" s="23" t="s">
        <v>37</v>
      </c>
      <c r="B193" s="23" t="s">
        <v>516</v>
      </c>
      <c r="C193" s="23" t="s">
        <v>517</v>
      </c>
      <c r="D193" s="23" t="s">
        <v>40</v>
      </c>
      <c r="E193">
        <v>62</v>
      </c>
      <c r="F193" s="23" t="s">
        <v>41</v>
      </c>
    </row>
    <row r="194" spans="1:6" x14ac:dyDescent="0.25">
      <c r="A194" s="23" t="s">
        <v>37</v>
      </c>
      <c r="B194" s="23" t="s">
        <v>629</v>
      </c>
      <c r="C194" s="23" t="s">
        <v>630</v>
      </c>
      <c r="D194" s="23" t="s">
        <v>40</v>
      </c>
      <c r="E194">
        <v>45</v>
      </c>
      <c r="F194" s="23" t="s">
        <v>41</v>
      </c>
    </row>
    <row r="195" spans="1:6" x14ac:dyDescent="0.25">
      <c r="A195" s="23" t="s">
        <v>37</v>
      </c>
      <c r="B195" s="23" t="s">
        <v>394</v>
      </c>
      <c r="C195" s="23" t="s">
        <v>395</v>
      </c>
      <c r="D195" s="23" t="s">
        <v>40</v>
      </c>
      <c r="E195">
        <v>162</v>
      </c>
      <c r="F195" s="23" t="s">
        <v>41</v>
      </c>
    </row>
    <row r="196" spans="1:6" x14ac:dyDescent="0.25">
      <c r="A196" s="23" t="s">
        <v>735</v>
      </c>
      <c r="B196" s="23" t="s">
        <v>394</v>
      </c>
      <c r="C196" s="23" t="s">
        <v>395</v>
      </c>
      <c r="D196" s="23" t="s">
        <v>40</v>
      </c>
      <c r="E196">
        <v>27</v>
      </c>
      <c r="F196" s="23" t="s">
        <v>41</v>
      </c>
    </row>
    <row r="197" spans="1:6" x14ac:dyDescent="0.25">
      <c r="A197" s="23" t="s">
        <v>37</v>
      </c>
      <c r="B197" s="23" t="s">
        <v>309</v>
      </c>
      <c r="C197" s="23" t="s">
        <v>310</v>
      </c>
      <c r="D197" s="23" t="s">
        <v>40</v>
      </c>
      <c r="E197">
        <v>52</v>
      </c>
      <c r="F197" s="23" t="s">
        <v>41</v>
      </c>
    </row>
    <row r="198" spans="1:6" x14ac:dyDescent="0.25">
      <c r="A198" s="23" t="s">
        <v>735</v>
      </c>
      <c r="B198" s="23" t="s">
        <v>309</v>
      </c>
      <c r="C198" s="23" t="s">
        <v>310</v>
      </c>
      <c r="D198" s="23" t="s">
        <v>40</v>
      </c>
      <c r="E198">
        <v>7</v>
      </c>
      <c r="F198" s="23" t="s">
        <v>41</v>
      </c>
    </row>
    <row r="199" spans="1:6" x14ac:dyDescent="0.25">
      <c r="A199" s="23" t="s">
        <v>37</v>
      </c>
      <c r="B199" s="23" t="s">
        <v>78</v>
      </c>
      <c r="C199" s="23" t="s">
        <v>79</v>
      </c>
      <c r="D199" s="23" t="s">
        <v>40</v>
      </c>
      <c r="E199">
        <v>344</v>
      </c>
      <c r="F199" s="23" t="s">
        <v>41</v>
      </c>
    </row>
    <row r="200" spans="1:6" x14ac:dyDescent="0.25">
      <c r="A200" s="23" t="s">
        <v>735</v>
      </c>
      <c r="B200" s="23" t="s">
        <v>78</v>
      </c>
      <c r="C200" s="23" t="s">
        <v>79</v>
      </c>
      <c r="D200" s="23" t="s">
        <v>40</v>
      </c>
      <c r="E200">
        <v>55</v>
      </c>
      <c r="F200" s="23" t="s">
        <v>41</v>
      </c>
    </row>
    <row r="201" spans="1:6" x14ac:dyDescent="0.25">
      <c r="A201" s="23" t="s">
        <v>37</v>
      </c>
      <c r="B201" s="23" t="s">
        <v>184</v>
      </c>
      <c r="C201" s="23" t="s">
        <v>185</v>
      </c>
      <c r="D201" s="23" t="s">
        <v>40</v>
      </c>
      <c r="E201">
        <v>106</v>
      </c>
      <c r="F201" s="23" t="s">
        <v>41</v>
      </c>
    </row>
    <row r="202" spans="1:6" x14ac:dyDescent="0.25">
      <c r="A202" s="23" t="s">
        <v>37</v>
      </c>
      <c r="B202" s="23" t="s">
        <v>570</v>
      </c>
      <c r="C202" s="23" t="s">
        <v>571</v>
      </c>
      <c r="D202" s="23" t="s">
        <v>40</v>
      </c>
      <c r="E202">
        <v>42</v>
      </c>
      <c r="F202" s="23" t="s">
        <v>41</v>
      </c>
    </row>
    <row r="203" spans="1:6" x14ac:dyDescent="0.25">
      <c r="A203" s="23" t="s">
        <v>735</v>
      </c>
      <c r="B203" s="23" t="s">
        <v>570</v>
      </c>
      <c r="C203" s="23" t="s">
        <v>571</v>
      </c>
      <c r="D203" s="23" t="s">
        <v>40</v>
      </c>
      <c r="E203">
        <v>5</v>
      </c>
      <c r="F203" s="23" t="s">
        <v>41</v>
      </c>
    </row>
    <row r="204" spans="1:6" x14ac:dyDescent="0.25">
      <c r="A204" s="23" t="s">
        <v>37</v>
      </c>
      <c r="B204" s="23" t="s">
        <v>92</v>
      </c>
      <c r="C204" s="23" t="s">
        <v>93</v>
      </c>
      <c r="D204" s="23" t="s">
        <v>40</v>
      </c>
      <c r="E204">
        <v>228</v>
      </c>
      <c r="F204" s="23" t="s">
        <v>41</v>
      </c>
    </row>
    <row r="205" spans="1:6" x14ac:dyDescent="0.25">
      <c r="A205" s="23" t="s">
        <v>37</v>
      </c>
      <c r="B205" s="23" t="s">
        <v>42</v>
      </c>
      <c r="C205" s="23" t="s">
        <v>43</v>
      </c>
      <c r="D205" s="23" t="s">
        <v>40</v>
      </c>
      <c r="E205">
        <v>355</v>
      </c>
      <c r="F205" s="23" t="s">
        <v>41</v>
      </c>
    </row>
    <row r="206" spans="1:6" x14ac:dyDescent="0.25">
      <c r="A206" s="23" t="s">
        <v>37</v>
      </c>
      <c r="B206" s="23" t="s">
        <v>141</v>
      </c>
      <c r="C206" s="23" t="s">
        <v>142</v>
      </c>
      <c r="D206" s="23" t="s">
        <v>40</v>
      </c>
      <c r="E206">
        <v>48</v>
      </c>
      <c r="F206" s="23" t="s">
        <v>41</v>
      </c>
    </row>
    <row r="207" spans="1:6" x14ac:dyDescent="0.25">
      <c r="A207" s="23" t="s">
        <v>37</v>
      </c>
      <c r="B207" s="23" t="s">
        <v>579</v>
      </c>
      <c r="C207" s="23" t="s">
        <v>580</v>
      </c>
      <c r="D207" s="23" t="s">
        <v>40</v>
      </c>
      <c r="E207">
        <v>108</v>
      </c>
      <c r="F207" s="23" t="s">
        <v>41</v>
      </c>
    </row>
    <row r="208" spans="1:6" x14ac:dyDescent="0.25">
      <c r="A208" s="23" t="s">
        <v>37</v>
      </c>
      <c r="B208" s="23" t="s">
        <v>467</v>
      </c>
      <c r="C208" s="23" t="s">
        <v>468</v>
      </c>
      <c r="D208" s="23" t="s">
        <v>40</v>
      </c>
      <c r="E208">
        <v>108</v>
      </c>
      <c r="F208" s="23" t="s">
        <v>41</v>
      </c>
    </row>
    <row r="209" spans="1:6" x14ac:dyDescent="0.25">
      <c r="A209" s="23" t="s">
        <v>37</v>
      </c>
      <c r="B209" s="23" t="s">
        <v>247</v>
      </c>
      <c r="C209" s="23" t="s">
        <v>248</v>
      </c>
      <c r="D209" s="23" t="s">
        <v>40</v>
      </c>
      <c r="E209">
        <v>9</v>
      </c>
      <c r="F209" s="23" t="s">
        <v>41</v>
      </c>
    </row>
    <row r="210" spans="1:6" x14ac:dyDescent="0.25">
      <c r="A210" s="23" t="s">
        <v>37</v>
      </c>
      <c r="B210" s="23" t="s">
        <v>616</v>
      </c>
      <c r="C210" s="23" t="s">
        <v>617</v>
      </c>
      <c r="D210" s="23" t="s">
        <v>40</v>
      </c>
      <c r="E210">
        <v>44</v>
      </c>
      <c r="F210" s="23" t="s">
        <v>41</v>
      </c>
    </row>
    <row r="211" spans="1:6" x14ac:dyDescent="0.25">
      <c r="A211" s="23" t="s">
        <v>37</v>
      </c>
      <c r="B211" s="23" t="s">
        <v>281</v>
      </c>
      <c r="C211" s="23" t="s">
        <v>282</v>
      </c>
      <c r="D211" s="23" t="s">
        <v>40</v>
      </c>
      <c r="E211">
        <v>4</v>
      </c>
      <c r="F211" s="23" t="s">
        <v>112</v>
      </c>
    </row>
    <row r="212" spans="1:6" x14ac:dyDescent="0.25">
      <c r="A212" s="23" t="s">
        <v>37</v>
      </c>
      <c r="B212" s="23" t="s">
        <v>344</v>
      </c>
      <c r="C212" s="23" t="s">
        <v>345</v>
      </c>
      <c r="D212" s="23" t="s">
        <v>40</v>
      </c>
      <c r="E212">
        <v>20</v>
      </c>
      <c r="F212" s="23" t="s">
        <v>41</v>
      </c>
    </row>
    <row r="213" spans="1:6" x14ac:dyDescent="0.25">
      <c r="A213" s="23" t="s">
        <v>37</v>
      </c>
      <c r="B213" s="23" t="s">
        <v>443</v>
      </c>
      <c r="C213" s="23" t="s">
        <v>444</v>
      </c>
      <c r="D213" s="23" t="s">
        <v>40</v>
      </c>
      <c r="E213">
        <v>57</v>
      </c>
      <c r="F213" s="23" t="s">
        <v>41</v>
      </c>
    </row>
    <row r="214" spans="1:6" x14ac:dyDescent="0.25">
      <c r="A214" s="23" t="s">
        <v>37</v>
      </c>
      <c r="B214" s="23" t="s">
        <v>721</v>
      </c>
      <c r="C214" s="23" t="s">
        <v>722</v>
      </c>
      <c r="D214" s="23" t="s">
        <v>40</v>
      </c>
      <c r="E214">
        <v>18</v>
      </c>
      <c r="F214" s="23" t="s">
        <v>41</v>
      </c>
    </row>
    <row r="215" spans="1:6" x14ac:dyDescent="0.25">
      <c r="A215" s="23" t="s">
        <v>37</v>
      </c>
      <c r="B215" s="23" t="s">
        <v>715</v>
      </c>
      <c r="C215" s="23" t="s">
        <v>716</v>
      </c>
      <c r="D215" s="23" t="s">
        <v>40</v>
      </c>
      <c r="E215">
        <v>30</v>
      </c>
      <c r="F215" s="23" t="s">
        <v>41</v>
      </c>
    </row>
    <row r="216" spans="1:6" x14ac:dyDescent="0.25">
      <c r="A216" s="23" t="s">
        <v>37</v>
      </c>
      <c r="B216" s="23" t="s">
        <v>155</v>
      </c>
      <c r="C216" s="23" t="s">
        <v>156</v>
      </c>
      <c r="D216" s="23" t="s">
        <v>40</v>
      </c>
      <c r="E216">
        <v>42</v>
      </c>
      <c r="F216" s="23" t="s">
        <v>41</v>
      </c>
    </row>
    <row r="217" spans="1:6" x14ac:dyDescent="0.25">
      <c r="A217" s="23" t="s">
        <v>37</v>
      </c>
      <c r="B217" s="23" t="s">
        <v>411</v>
      </c>
      <c r="C217" s="23" t="s">
        <v>412</v>
      </c>
      <c r="D217" s="23" t="s">
        <v>40</v>
      </c>
      <c r="E217">
        <v>18</v>
      </c>
      <c r="F217" s="23" t="s">
        <v>41</v>
      </c>
    </row>
    <row r="218" spans="1:6" x14ac:dyDescent="0.25">
      <c r="A218" s="23" t="s">
        <v>37</v>
      </c>
      <c r="B218" s="23" t="s">
        <v>159</v>
      </c>
      <c r="C218" s="23" t="s">
        <v>160</v>
      </c>
      <c r="D218" s="23" t="s">
        <v>40</v>
      </c>
      <c r="E218">
        <v>48</v>
      </c>
      <c r="F218" s="23" t="s">
        <v>41</v>
      </c>
    </row>
    <row r="219" spans="1:6" x14ac:dyDescent="0.25">
      <c r="A219" s="23" t="s">
        <v>37</v>
      </c>
      <c r="B219" s="23" t="s">
        <v>581</v>
      </c>
      <c r="C219" s="23" t="s">
        <v>582</v>
      </c>
      <c r="D219" s="23" t="s">
        <v>40</v>
      </c>
      <c r="E219">
        <v>54</v>
      </c>
      <c r="F219" s="23" t="s">
        <v>41</v>
      </c>
    </row>
    <row r="220" spans="1:6" x14ac:dyDescent="0.25">
      <c r="A220" s="23" t="s">
        <v>37</v>
      </c>
      <c r="B220" s="23" t="s">
        <v>421</v>
      </c>
      <c r="C220" s="23" t="s">
        <v>422</v>
      </c>
      <c r="D220" s="23" t="s">
        <v>40</v>
      </c>
      <c r="E220">
        <v>24</v>
      </c>
      <c r="F220" s="23" t="s">
        <v>41</v>
      </c>
    </row>
    <row r="221" spans="1:6" x14ac:dyDescent="0.25">
      <c r="A221" s="23" t="s">
        <v>37</v>
      </c>
      <c r="B221" s="23" t="s">
        <v>731</v>
      </c>
      <c r="C221" s="23" t="s">
        <v>732</v>
      </c>
      <c r="D221" s="23" t="s">
        <v>40</v>
      </c>
      <c r="E221">
        <v>45</v>
      </c>
      <c r="F221" s="23" t="s">
        <v>41</v>
      </c>
    </row>
    <row r="222" spans="1:6" x14ac:dyDescent="0.25">
      <c r="A222" s="23" t="s">
        <v>37</v>
      </c>
      <c r="B222" s="23" t="s">
        <v>530</v>
      </c>
      <c r="C222" s="23" t="s">
        <v>531</v>
      </c>
      <c r="D222" s="23" t="s">
        <v>40</v>
      </c>
      <c r="E222">
        <v>174</v>
      </c>
      <c r="F222" s="23" t="s">
        <v>41</v>
      </c>
    </row>
    <row r="223" spans="1:6" x14ac:dyDescent="0.25">
      <c r="A223" s="23" t="s">
        <v>37</v>
      </c>
      <c r="B223" s="23" t="s">
        <v>677</v>
      </c>
      <c r="C223" s="23" t="s">
        <v>678</v>
      </c>
      <c r="D223" s="23" t="s">
        <v>40</v>
      </c>
      <c r="E223">
        <v>12</v>
      </c>
      <c r="F223" s="23" t="s">
        <v>41</v>
      </c>
    </row>
    <row r="224" spans="1:6" x14ac:dyDescent="0.25">
      <c r="A224" s="23" t="s">
        <v>37</v>
      </c>
      <c r="B224" s="23" t="s">
        <v>663</v>
      </c>
      <c r="C224" s="23" t="s">
        <v>664</v>
      </c>
      <c r="D224" s="23" t="s">
        <v>40</v>
      </c>
      <c r="E224">
        <v>72</v>
      </c>
      <c r="F224" s="23" t="s">
        <v>41</v>
      </c>
    </row>
    <row r="225" spans="1:6" x14ac:dyDescent="0.25">
      <c r="A225" s="23" t="s">
        <v>37</v>
      </c>
      <c r="B225" s="23" t="s">
        <v>425</v>
      </c>
      <c r="C225" s="23" t="s">
        <v>426</v>
      </c>
      <c r="D225" s="23" t="s">
        <v>40</v>
      </c>
      <c r="E225">
        <v>66</v>
      </c>
      <c r="F225" s="23" t="s">
        <v>41</v>
      </c>
    </row>
    <row r="226" spans="1:6" x14ac:dyDescent="0.25">
      <c r="A226" s="23" t="s">
        <v>37</v>
      </c>
      <c r="B226" s="23" t="s">
        <v>479</v>
      </c>
      <c r="C226" s="23" t="s">
        <v>480</v>
      </c>
      <c r="D226" s="23" t="s">
        <v>40</v>
      </c>
      <c r="E226">
        <v>48</v>
      </c>
      <c r="F226" s="23" t="s">
        <v>41</v>
      </c>
    </row>
    <row r="227" spans="1:6" x14ac:dyDescent="0.25">
      <c r="A227" s="23" t="s">
        <v>37</v>
      </c>
      <c r="B227" s="23" t="s">
        <v>143</v>
      </c>
      <c r="C227" s="23" t="s">
        <v>144</v>
      </c>
      <c r="D227" s="23" t="s">
        <v>40</v>
      </c>
      <c r="E227">
        <v>192</v>
      </c>
      <c r="F227" s="23" t="s">
        <v>41</v>
      </c>
    </row>
    <row r="228" spans="1:6" x14ac:dyDescent="0.25">
      <c r="A228" s="23" t="s">
        <v>37</v>
      </c>
      <c r="B228" s="23" t="s">
        <v>327</v>
      </c>
      <c r="C228" s="23" t="s">
        <v>328</v>
      </c>
      <c r="D228" s="23" t="s">
        <v>40</v>
      </c>
      <c r="E228">
        <v>366</v>
      </c>
      <c r="F228" s="23" t="s">
        <v>41</v>
      </c>
    </row>
    <row r="229" spans="1:6" x14ac:dyDescent="0.25">
      <c r="A229" s="23" t="s">
        <v>37</v>
      </c>
      <c r="B229" s="23" t="s">
        <v>145</v>
      </c>
      <c r="C229" s="23" t="s">
        <v>146</v>
      </c>
      <c r="D229" s="23" t="s">
        <v>40</v>
      </c>
      <c r="E229">
        <v>114</v>
      </c>
      <c r="F229" s="23" t="s">
        <v>41</v>
      </c>
    </row>
    <row r="230" spans="1:6" x14ac:dyDescent="0.25">
      <c r="A230" s="23" t="s">
        <v>37</v>
      </c>
      <c r="B230" s="23" t="s">
        <v>108</v>
      </c>
      <c r="C230" s="23" t="s">
        <v>109</v>
      </c>
      <c r="D230" s="23" t="s">
        <v>40</v>
      </c>
      <c r="E230">
        <v>66</v>
      </c>
      <c r="F230" s="23" t="s">
        <v>41</v>
      </c>
    </row>
    <row r="231" spans="1:6" x14ac:dyDescent="0.25">
      <c r="A231" s="23" t="s">
        <v>37</v>
      </c>
      <c r="B231" s="23" t="s">
        <v>727</v>
      </c>
      <c r="C231" s="23" t="s">
        <v>728</v>
      </c>
      <c r="D231" s="23" t="s">
        <v>40</v>
      </c>
      <c r="E231">
        <v>186</v>
      </c>
      <c r="F231" s="23" t="s">
        <v>41</v>
      </c>
    </row>
    <row r="232" spans="1:6" x14ac:dyDescent="0.25">
      <c r="A232" s="23" t="s">
        <v>37</v>
      </c>
      <c r="B232" s="23" t="s">
        <v>135</v>
      </c>
      <c r="C232" s="23" t="s">
        <v>136</v>
      </c>
      <c r="D232" s="23" t="s">
        <v>40</v>
      </c>
      <c r="E232">
        <v>54</v>
      </c>
      <c r="F232" s="23" t="s">
        <v>41</v>
      </c>
    </row>
    <row r="233" spans="1:6" x14ac:dyDescent="0.25">
      <c r="A233" s="23" t="s">
        <v>37</v>
      </c>
      <c r="B233" s="23" t="s">
        <v>139</v>
      </c>
      <c r="C233" s="23" t="s">
        <v>140</v>
      </c>
      <c r="D233" s="23" t="s">
        <v>40</v>
      </c>
      <c r="E233">
        <v>54</v>
      </c>
      <c r="F233" s="23" t="s">
        <v>41</v>
      </c>
    </row>
    <row r="234" spans="1:6" x14ac:dyDescent="0.25">
      <c r="A234" s="23" t="s">
        <v>37</v>
      </c>
      <c r="B234" s="23" t="s">
        <v>133</v>
      </c>
      <c r="C234" s="23" t="s">
        <v>134</v>
      </c>
      <c r="D234" s="23" t="s">
        <v>40</v>
      </c>
      <c r="E234">
        <v>54</v>
      </c>
      <c r="F234" s="23" t="s">
        <v>41</v>
      </c>
    </row>
    <row r="235" spans="1:6" x14ac:dyDescent="0.25">
      <c r="A235" s="23" t="s">
        <v>37</v>
      </c>
      <c r="B235" s="23" t="s">
        <v>588</v>
      </c>
      <c r="C235" s="23" t="s">
        <v>589</v>
      </c>
      <c r="D235" s="23" t="s">
        <v>40</v>
      </c>
      <c r="E235">
        <v>54</v>
      </c>
      <c r="F235" s="23" t="s">
        <v>41</v>
      </c>
    </row>
    <row r="236" spans="1:6" x14ac:dyDescent="0.25">
      <c r="A236" s="23" t="s">
        <v>37</v>
      </c>
      <c r="B236" s="23" t="s">
        <v>403</v>
      </c>
      <c r="C236" s="23" t="s">
        <v>404</v>
      </c>
      <c r="D236" s="23" t="s">
        <v>40</v>
      </c>
      <c r="E236">
        <v>32</v>
      </c>
      <c r="F236" s="23" t="s">
        <v>41</v>
      </c>
    </row>
    <row r="237" spans="1:6" x14ac:dyDescent="0.25">
      <c r="A237" s="23" t="s">
        <v>37</v>
      </c>
      <c r="B237" s="23" t="s">
        <v>333</v>
      </c>
      <c r="C237" s="23" t="s">
        <v>334</v>
      </c>
      <c r="D237" s="23" t="s">
        <v>40</v>
      </c>
      <c r="E237">
        <v>12</v>
      </c>
      <c r="F237" s="23" t="s">
        <v>41</v>
      </c>
    </row>
    <row r="238" spans="1:6" x14ac:dyDescent="0.25">
      <c r="A238" s="23" t="s">
        <v>37</v>
      </c>
      <c r="B238" s="23" t="s">
        <v>241</v>
      </c>
      <c r="C238" s="23" t="s">
        <v>242</v>
      </c>
      <c r="D238" s="23" t="s">
        <v>40</v>
      </c>
      <c r="E238">
        <v>15</v>
      </c>
      <c r="F238" s="23" t="s">
        <v>41</v>
      </c>
    </row>
    <row r="239" spans="1:6" x14ac:dyDescent="0.25">
      <c r="A239" s="23" t="s">
        <v>37</v>
      </c>
      <c r="B239" s="23" t="s">
        <v>679</v>
      </c>
      <c r="C239" s="23" t="s">
        <v>680</v>
      </c>
      <c r="D239" s="23" t="s">
        <v>40</v>
      </c>
      <c r="E239">
        <v>36</v>
      </c>
      <c r="F239" s="23" t="s">
        <v>41</v>
      </c>
    </row>
    <row r="240" spans="1:6" x14ac:dyDescent="0.25">
      <c r="A240" s="23" t="s">
        <v>37</v>
      </c>
      <c r="B240" s="23" t="s">
        <v>169</v>
      </c>
      <c r="C240" s="23" t="s">
        <v>170</v>
      </c>
      <c r="D240" s="23" t="s">
        <v>40</v>
      </c>
      <c r="E240">
        <v>15</v>
      </c>
      <c r="F240" s="23" t="s">
        <v>41</v>
      </c>
    </row>
    <row r="241" spans="1:6" x14ac:dyDescent="0.25">
      <c r="A241" s="23" t="s">
        <v>37</v>
      </c>
      <c r="B241" s="23" t="s">
        <v>98</v>
      </c>
      <c r="C241" s="23" t="s">
        <v>99</v>
      </c>
      <c r="D241" s="23" t="s">
        <v>40</v>
      </c>
      <c r="E241">
        <v>120</v>
      </c>
      <c r="F241" s="23" t="s">
        <v>41</v>
      </c>
    </row>
    <row r="242" spans="1:6" x14ac:dyDescent="0.25">
      <c r="A242" s="23" t="s">
        <v>735</v>
      </c>
      <c r="B242" s="23" t="s">
        <v>98</v>
      </c>
      <c r="C242" s="23" t="s">
        <v>99</v>
      </c>
      <c r="D242" s="23" t="s">
        <v>40</v>
      </c>
      <c r="E242">
        <v>65</v>
      </c>
      <c r="F242" s="23" t="s">
        <v>41</v>
      </c>
    </row>
    <row r="243" spans="1:6" x14ac:dyDescent="0.25">
      <c r="A243" s="23" t="s">
        <v>37</v>
      </c>
      <c r="B243" s="23" t="s">
        <v>500</v>
      </c>
      <c r="C243" s="23" t="s">
        <v>501</v>
      </c>
      <c r="D243" s="23" t="s">
        <v>40</v>
      </c>
      <c r="E243">
        <v>34</v>
      </c>
      <c r="F243" s="23" t="s">
        <v>41</v>
      </c>
    </row>
    <row r="244" spans="1:6" x14ac:dyDescent="0.25">
      <c r="A244" s="23" t="s">
        <v>37</v>
      </c>
      <c r="B244" s="23" t="s">
        <v>299</v>
      </c>
      <c r="C244" s="23" t="s">
        <v>300</v>
      </c>
      <c r="D244" s="23" t="s">
        <v>40</v>
      </c>
      <c r="E244">
        <v>12</v>
      </c>
      <c r="F244" s="23" t="s">
        <v>41</v>
      </c>
    </row>
    <row r="245" spans="1:6" x14ac:dyDescent="0.25">
      <c r="A245" s="23" t="s">
        <v>735</v>
      </c>
      <c r="B245" s="23" t="s">
        <v>299</v>
      </c>
      <c r="C245" s="23" t="s">
        <v>300</v>
      </c>
      <c r="D245" s="23" t="s">
        <v>40</v>
      </c>
      <c r="E245">
        <v>17</v>
      </c>
      <c r="F245" s="23" t="s">
        <v>41</v>
      </c>
    </row>
    <row r="246" spans="1:6" x14ac:dyDescent="0.25">
      <c r="A246" s="23" t="s">
        <v>37</v>
      </c>
      <c r="B246" s="23" t="s">
        <v>522</v>
      </c>
      <c r="C246" s="23" t="s">
        <v>523</v>
      </c>
      <c r="D246" s="23" t="s">
        <v>40</v>
      </c>
      <c r="E246">
        <v>24</v>
      </c>
      <c r="F246" s="23" t="s">
        <v>41</v>
      </c>
    </row>
    <row r="247" spans="1:6" x14ac:dyDescent="0.25">
      <c r="A247" s="23" t="s">
        <v>37</v>
      </c>
      <c r="B247" s="23" t="s">
        <v>400</v>
      </c>
      <c r="C247" s="23" t="s">
        <v>242</v>
      </c>
      <c r="D247" s="23" t="s">
        <v>40</v>
      </c>
      <c r="E247">
        <v>12</v>
      </c>
      <c r="F247" s="23" t="s">
        <v>41</v>
      </c>
    </row>
    <row r="248" spans="1:6" x14ac:dyDescent="0.25">
      <c r="A248" s="23" t="s">
        <v>735</v>
      </c>
      <c r="B248" s="23" t="s">
        <v>400</v>
      </c>
      <c r="C248" s="23" t="s">
        <v>242</v>
      </c>
      <c r="D248" s="23" t="s">
        <v>40</v>
      </c>
      <c r="E248">
        <v>11</v>
      </c>
      <c r="F248" s="23" t="s">
        <v>41</v>
      </c>
    </row>
    <row r="249" spans="1:6" x14ac:dyDescent="0.25">
      <c r="A249" s="23" t="s">
        <v>37</v>
      </c>
      <c r="B249" s="23" t="s">
        <v>431</v>
      </c>
      <c r="C249" s="23" t="s">
        <v>432</v>
      </c>
      <c r="D249" s="23" t="s">
        <v>40</v>
      </c>
      <c r="E249">
        <v>95.000000000000014</v>
      </c>
      <c r="F249" s="23" t="s">
        <v>41</v>
      </c>
    </row>
    <row r="250" spans="1:6" x14ac:dyDescent="0.25">
      <c r="A250" s="23" t="s">
        <v>735</v>
      </c>
      <c r="B250" s="23" t="s">
        <v>431</v>
      </c>
      <c r="C250" s="23" t="s">
        <v>432</v>
      </c>
      <c r="D250" s="23" t="s">
        <v>40</v>
      </c>
      <c r="E250">
        <v>17</v>
      </c>
      <c r="F250" s="23" t="s">
        <v>41</v>
      </c>
    </row>
    <row r="251" spans="1:6" x14ac:dyDescent="0.25">
      <c r="A251" s="23" t="s">
        <v>37</v>
      </c>
      <c r="B251" s="23" t="s">
        <v>463</v>
      </c>
      <c r="C251" s="23" t="s">
        <v>464</v>
      </c>
      <c r="D251" s="23" t="s">
        <v>40</v>
      </c>
      <c r="E251">
        <v>12</v>
      </c>
      <c r="F251" s="23" t="s">
        <v>41</v>
      </c>
    </row>
    <row r="252" spans="1:6" x14ac:dyDescent="0.25">
      <c r="A252" s="23" t="s">
        <v>735</v>
      </c>
      <c r="B252" s="23" t="s">
        <v>463</v>
      </c>
      <c r="C252" s="23" t="s">
        <v>464</v>
      </c>
      <c r="D252" s="23" t="s">
        <v>40</v>
      </c>
      <c r="E252">
        <v>17</v>
      </c>
      <c r="F252" s="23" t="s">
        <v>41</v>
      </c>
    </row>
    <row r="253" spans="1:6" x14ac:dyDescent="0.25">
      <c r="A253" s="23" t="s">
        <v>37</v>
      </c>
      <c r="B253" s="23" t="s">
        <v>362</v>
      </c>
      <c r="C253" s="23" t="s">
        <v>363</v>
      </c>
      <c r="D253" s="23" t="s">
        <v>40</v>
      </c>
      <c r="E253">
        <v>150</v>
      </c>
      <c r="F253" s="23" t="s">
        <v>41</v>
      </c>
    </row>
    <row r="254" spans="1:6" x14ac:dyDescent="0.25">
      <c r="A254" s="23" t="s">
        <v>37</v>
      </c>
      <c r="B254" s="23" t="s">
        <v>305</v>
      </c>
      <c r="C254" s="23" t="s">
        <v>306</v>
      </c>
      <c r="D254" s="23" t="s">
        <v>40</v>
      </c>
      <c r="E254">
        <v>159</v>
      </c>
      <c r="F254" s="23" t="s">
        <v>41</v>
      </c>
    </row>
    <row r="255" spans="1:6" x14ac:dyDescent="0.25">
      <c r="A255" s="23" t="s">
        <v>37</v>
      </c>
      <c r="B255" s="23" t="s">
        <v>573</v>
      </c>
      <c r="C255" s="23" t="s">
        <v>574</v>
      </c>
      <c r="D255" s="23" t="s">
        <v>40</v>
      </c>
      <c r="E255">
        <v>144</v>
      </c>
      <c r="F255" s="23" t="s">
        <v>41</v>
      </c>
    </row>
    <row r="256" spans="1:6" x14ac:dyDescent="0.25">
      <c r="A256" s="23" t="s">
        <v>37</v>
      </c>
      <c r="B256" s="23" t="s">
        <v>50</v>
      </c>
      <c r="C256" s="23" t="s">
        <v>51</v>
      </c>
      <c r="D256" s="23" t="s">
        <v>40</v>
      </c>
      <c r="E256">
        <v>513</v>
      </c>
      <c r="F256" s="23" t="s">
        <v>41</v>
      </c>
    </row>
    <row r="257" spans="1:6" x14ac:dyDescent="0.25">
      <c r="A257" s="23" t="s">
        <v>37</v>
      </c>
      <c r="B257" s="23" t="s">
        <v>449</v>
      </c>
      <c r="C257" s="23" t="s">
        <v>450</v>
      </c>
      <c r="D257" s="23" t="s">
        <v>40</v>
      </c>
      <c r="E257">
        <v>138</v>
      </c>
      <c r="F257" s="23" t="s">
        <v>41</v>
      </c>
    </row>
    <row r="258" spans="1:6" x14ac:dyDescent="0.25">
      <c r="A258" s="23" t="s">
        <v>37</v>
      </c>
      <c r="B258" s="23" t="s">
        <v>681</v>
      </c>
      <c r="C258" s="23" t="s">
        <v>682</v>
      </c>
      <c r="D258" s="23" t="s">
        <v>40</v>
      </c>
      <c r="E258">
        <v>96.999999999999986</v>
      </c>
      <c r="F258" s="23" t="s">
        <v>41</v>
      </c>
    </row>
    <row r="259" spans="1:6" x14ac:dyDescent="0.25">
      <c r="A259" s="23" t="s">
        <v>37</v>
      </c>
      <c r="B259" s="23" t="s">
        <v>295</v>
      </c>
      <c r="C259" s="23" t="s">
        <v>296</v>
      </c>
      <c r="D259" s="23" t="s">
        <v>40</v>
      </c>
      <c r="E259">
        <v>213</v>
      </c>
      <c r="F259" s="23" t="s">
        <v>41</v>
      </c>
    </row>
    <row r="260" spans="1:6" x14ac:dyDescent="0.25">
      <c r="A260" s="23" t="s">
        <v>37</v>
      </c>
      <c r="B260" s="23" t="s">
        <v>455</v>
      </c>
      <c r="C260" s="23" t="s">
        <v>456</v>
      </c>
      <c r="D260" s="23" t="s">
        <v>40</v>
      </c>
      <c r="E260">
        <v>44</v>
      </c>
      <c r="F260" s="23" t="s">
        <v>41</v>
      </c>
    </row>
    <row r="261" spans="1:6" x14ac:dyDescent="0.25">
      <c r="A261" s="23" t="s">
        <v>37</v>
      </c>
      <c r="B261" s="23" t="s">
        <v>354</v>
      </c>
      <c r="C261" s="23" t="s">
        <v>355</v>
      </c>
      <c r="D261" s="23" t="s">
        <v>40</v>
      </c>
      <c r="E261">
        <v>17</v>
      </c>
      <c r="F261" s="23" t="s">
        <v>41</v>
      </c>
    </row>
    <row r="262" spans="1:6" x14ac:dyDescent="0.25">
      <c r="A262" s="23" t="s">
        <v>37</v>
      </c>
      <c r="B262" s="23" t="s">
        <v>253</v>
      </c>
      <c r="C262" s="23" t="s">
        <v>254</v>
      </c>
      <c r="D262" s="23" t="s">
        <v>40</v>
      </c>
      <c r="E262">
        <v>65</v>
      </c>
      <c r="F262" s="23" t="s">
        <v>41</v>
      </c>
    </row>
    <row r="263" spans="1:6" x14ac:dyDescent="0.25">
      <c r="A263" s="23" t="s">
        <v>37</v>
      </c>
      <c r="B263" s="23" t="s">
        <v>604</v>
      </c>
      <c r="C263" s="23" t="s">
        <v>605</v>
      </c>
      <c r="D263" s="23" t="s">
        <v>40</v>
      </c>
      <c r="E263">
        <v>44</v>
      </c>
      <c r="F263" s="23" t="s">
        <v>41</v>
      </c>
    </row>
    <row r="264" spans="1:6" x14ac:dyDescent="0.25">
      <c r="A264" s="23" t="s">
        <v>37</v>
      </c>
      <c r="B264" s="23" t="s">
        <v>315</v>
      </c>
      <c r="C264" s="23" t="s">
        <v>316</v>
      </c>
      <c r="D264" s="23" t="s">
        <v>40</v>
      </c>
      <c r="E264">
        <v>61</v>
      </c>
      <c r="F264" s="23" t="s">
        <v>41</v>
      </c>
    </row>
    <row r="265" spans="1:6" x14ac:dyDescent="0.25">
      <c r="A265" s="23" t="s">
        <v>37</v>
      </c>
      <c r="B265" s="23" t="s">
        <v>717</v>
      </c>
      <c r="C265" s="23" t="s">
        <v>718</v>
      </c>
      <c r="D265" s="23" t="s">
        <v>40</v>
      </c>
      <c r="E265">
        <v>34</v>
      </c>
      <c r="F265" s="23" t="s">
        <v>41</v>
      </c>
    </row>
    <row r="266" spans="1:6" x14ac:dyDescent="0.25">
      <c r="A266" s="23" t="s">
        <v>37</v>
      </c>
      <c r="B266" s="23" t="s">
        <v>376</v>
      </c>
      <c r="C266" s="23" t="s">
        <v>377</v>
      </c>
      <c r="D266" s="23" t="s">
        <v>40</v>
      </c>
      <c r="E266">
        <v>55</v>
      </c>
      <c r="F266" s="23" t="s">
        <v>41</v>
      </c>
    </row>
    <row r="267" spans="1:6" x14ac:dyDescent="0.25">
      <c r="A267" s="23" t="s">
        <v>37</v>
      </c>
      <c r="B267" s="23" t="s">
        <v>575</v>
      </c>
      <c r="C267" s="23" t="s">
        <v>576</v>
      </c>
      <c r="D267" s="23" t="s">
        <v>40</v>
      </c>
      <c r="E267">
        <v>62</v>
      </c>
      <c r="F267" s="23" t="s">
        <v>41</v>
      </c>
    </row>
    <row r="268" spans="1:6" x14ac:dyDescent="0.25">
      <c r="A268" s="23" t="s">
        <v>37</v>
      </c>
      <c r="B268" s="23" t="s">
        <v>518</v>
      </c>
      <c r="C268" s="23" t="s">
        <v>519</v>
      </c>
      <c r="D268" s="23" t="s">
        <v>40</v>
      </c>
      <c r="E268">
        <v>233.99999999999997</v>
      </c>
      <c r="F268" s="23" t="s">
        <v>41</v>
      </c>
    </row>
    <row r="269" spans="1:6" x14ac:dyDescent="0.25">
      <c r="A269" s="23" t="s">
        <v>37</v>
      </c>
      <c r="B269" s="23" t="s">
        <v>705</v>
      </c>
      <c r="C269" s="23" t="s">
        <v>706</v>
      </c>
      <c r="D269" s="23" t="s">
        <v>40</v>
      </c>
      <c r="E269">
        <v>77</v>
      </c>
      <c r="F269" s="23" t="s">
        <v>41</v>
      </c>
    </row>
    <row r="270" spans="1:6" x14ac:dyDescent="0.25">
      <c r="A270" s="23" t="s">
        <v>37</v>
      </c>
      <c r="B270" s="23" t="s">
        <v>691</v>
      </c>
      <c r="C270" s="23" t="s">
        <v>692</v>
      </c>
      <c r="D270" s="23" t="s">
        <v>40</v>
      </c>
      <c r="E270">
        <v>7</v>
      </c>
      <c r="F270" s="23" t="s">
        <v>112</v>
      </c>
    </row>
    <row r="271" spans="1:6" x14ac:dyDescent="0.25">
      <c r="A271" s="23" t="s">
        <v>37</v>
      </c>
      <c r="B271" s="23" t="s">
        <v>301</v>
      </c>
      <c r="C271" s="23" t="s">
        <v>302</v>
      </c>
      <c r="D271" s="23" t="s">
        <v>40</v>
      </c>
      <c r="E271">
        <v>9</v>
      </c>
      <c r="F271" s="23" t="s">
        <v>41</v>
      </c>
    </row>
    <row r="272" spans="1:6" x14ac:dyDescent="0.25">
      <c r="A272" s="23" t="s">
        <v>37</v>
      </c>
      <c r="B272" s="23" t="s">
        <v>572</v>
      </c>
      <c r="C272" s="23" t="s">
        <v>302</v>
      </c>
      <c r="D272" s="23" t="s">
        <v>40</v>
      </c>
      <c r="E272">
        <v>6</v>
      </c>
      <c r="F272" s="23" t="s">
        <v>41</v>
      </c>
    </row>
    <row r="273" spans="1:6" x14ac:dyDescent="0.25">
      <c r="A273" s="23" t="s">
        <v>37</v>
      </c>
      <c r="B273" s="23" t="s">
        <v>627</v>
      </c>
      <c r="C273" s="23" t="s">
        <v>628</v>
      </c>
      <c r="D273" s="23" t="s">
        <v>40</v>
      </c>
      <c r="E273">
        <v>35</v>
      </c>
      <c r="F273" s="23" t="s">
        <v>41</v>
      </c>
    </row>
    <row r="274" spans="1:6" x14ac:dyDescent="0.25">
      <c r="A274" s="23" t="s">
        <v>735</v>
      </c>
      <c r="B274" s="23" t="s">
        <v>627</v>
      </c>
      <c r="C274" s="23" t="s">
        <v>628</v>
      </c>
      <c r="D274" s="23" t="s">
        <v>40</v>
      </c>
      <c r="E274">
        <v>23</v>
      </c>
      <c r="F274" s="23" t="s">
        <v>41</v>
      </c>
    </row>
    <row r="275" spans="1:6" x14ac:dyDescent="0.25">
      <c r="A275" s="23" t="s">
        <v>37</v>
      </c>
      <c r="B275" s="23" t="s">
        <v>565</v>
      </c>
      <c r="C275" s="23" t="s">
        <v>302</v>
      </c>
      <c r="D275" s="23" t="s">
        <v>40</v>
      </c>
      <c r="E275">
        <v>33</v>
      </c>
      <c r="F275" s="23" t="s">
        <v>41</v>
      </c>
    </row>
    <row r="276" spans="1:6" x14ac:dyDescent="0.25">
      <c r="A276" s="23" t="s">
        <v>735</v>
      </c>
      <c r="B276" s="23" t="s">
        <v>565</v>
      </c>
      <c r="C276" s="23" t="s">
        <v>302</v>
      </c>
      <c r="D276" s="23" t="s">
        <v>40</v>
      </c>
      <c r="E276">
        <v>32</v>
      </c>
      <c r="F276" s="23" t="s">
        <v>41</v>
      </c>
    </row>
    <row r="277" spans="1:6" x14ac:dyDescent="0.25">
      <c r="A277" s="23" t="s">
        <v>37</v>
      </c>
      <c r="B277" s="23" t="s">
        <v>695</v>
      </c>
      <c r="C277" s="23" t="s">
        <v>628</v>
      </c>
      <c r="D277" s="23" t="s">
        <v>40</v>
      </c>
      <c r="E277">
        <v>37</v>
      </c>
      <c r="F277" s="23" t="s">
        <v>41</v>
      </c>
    </row>
    <row r="278" spans="1:6" x14ac:dyDescent="0.25">
      <c r="A278" s="23" t="s">
        <v>735</v>
      </c>
      <c r="B278" s="23" t="s">
        <v>695</v>
      </c>
      <c r="C278" s="23" t="s">
        <v>628</v>
      </c>
      <c r="D278" s="23" t="s">
        <v>40</v>
      </c>
      <c r="E278">
        <v>50</v>
      </c>
      <c r="F278" s="23" t="s">
        <v>41</v>
      </c>
    </row>
    <row r="279" spans="1:6" x14ac:dyDescent="0.25">
      <c r="A279" s="23" t="s">
        <v>735</v>
      </c>
      <c r="B279" s="23" t="s">
        <v>752</v>
      </c>
      <c r="C279" s="23" t="s">
        <v>753</v>
      </c>
      <c r="D279" s="23" t="s">
        <v>40</v>
      </c>
      <c r="E279">
        <v>17</v>
      </c>
      <c r="F279" s="23" t="s">
        <v>41</v>
      </c>
    </row>
    <row r="280" spans="1:6" x14ac:dyDescent="0.25">
      <c r="A280" s="23" t="s">
        <v>37</v>
      </c>
      <c r="B280" s="23" t="s">
        <v>259</v>
      </c>
      <c r="C280" s="23" t="s">
        <v>260</v>
      </c>
      <c r="D280" s="23" t="s">
        <v>40</v>
      </c>
      <c r="E280">
        <v>14</v>
      </c>
      <c r="F280" s="23" t="s">
        <v>41</v>
      </c>
    </row>
    <row r="281" spans="1:6" x14ac:dyDescent="0.25">
      <c r="A281" s="23" t="s">
        <v>735</v>
      </c>
      <c r="B281" s="23" t="s">
        <v>754</v>
      </c>
      <c r="C281" s="23" t="s">
        <v>755</v>
      </c>
      <c r="D281" s="23" t="s">
        <v>40</v>
      </c>
      <c r="E281">
        <v>1</v>
      </c>
      <c r="F281" s="23" t="s">
        <v>41</v>
      </c>
    </row>
    <row r="282" spans="1:6" x14ac:dyDescent="0.25">
      <c r="A282" s="23" t="s">
        <v>37</v>
      </c>
      <c r="B282" s="23" t="s">
        <v>641</v>
      </c>
      <c r="C282" s="23" t="s">
        <v>642</v>
      </c>
      <c r="D282" s="23" t="s">
        <v>40</v>
      </c>
      <c r="E282">
        <v>23</v>
      </c>
      <c r="F282" s="23" t="s">
        <v>41</v>
      </c>
    </row>
    <row r="283" spans="1:6" x14ac:dyDescent="0.25">
      <c r="A283" s="23" t="s">
        <v>735</v>
      </c>
      <c r="B283" s="23" t="s">
        <v>641</v>
      </c>
      <c r="C283" s="23" t="s">
        <v>642</v>
      </c>
      <c r="D283" s="23" t="s">
        <v>40</v>
      </c>
      <c r="E283">
        <v>29</v>
      </c>
      <c r="F283" s="23" t="s">
        <v>41</v>
      </c>
    </row>
    <row r="284" spans="1:6" x14ac:dyDescent="0.25">
      <c r="A284" s="23" t="s">
        <v>37</v>
      </c>
      <c r="B284" s="23" t="s">
        <v>405</v>
      </c>
      <c r="C284" s="23" t="s">
        <v>406</v>
      </c>
      <c r="D284" s="23" t="s">
        <v>40</v>
      </c>
      <c r="E284">
        <v>1</v>
      </c>
      <c r="F284" s="23" t="s">
        <v>112</v>
      </c>
    </row>
    <row r="285" spans="1:6" x14ac:dyDescent="0.25">
      <c r="A285" s="23" t="s">
        <v>37</v>
      </c>
      <c r="B285" s="23" t="s">
        <v>113</v>
      </c>
      <c r="C285" s="23" t="s">
        <v>114</v>
      </c>
      <c r="D285" s="23" t="s">
        <v>40</v>
      </c>
      <c r="E285">
        <v>184</v>
      </c>
      <c r="F285" s="23" t="s">
        <v>41</v>
      </c>
    </row>
    <row r="286" spans="1:6" x14ac:dyDescent="0.25">
      <c r="A286" s="23" t="s">
        <v>735</v>
      </c>
      <c r="B286" s="23" t="s">
        <v>113</v>
      </c>
      <c r="C286" s="23" t="s">
        <v>114</v>
      </c>
      <c r="D286" s="23" t="s">
        <v>40</v>
      </c>
      <c r="E286">
        <v>124.99999999999999</v>
      </c>
      <c r="F286" s="23" t="s">
        <v>41</v>
      </c>
    </row>
    <row r="287" spans="1:6" x14ac:dyDescent="0.25">
      <c r="A287" s="23" t="s">
        <v>37</v>
      </c>
      <c r="B287" s="23" t="s">
        <v>598</v>
      </c>
      <c r="C287" s="23" t="s">
        <v>599</v>
      </c>
      <c r="D287" s="23" t="s">
        <v>40</v>
      </c>
      <c r="E287">
        <v>84</v>
      </c>
      <c r="F287" s="23" t="s">
        <v>41</v>
      </c>
    </row>
    <row r="288" spans="1:6" x14ac:dyDescent="0.25">
      <c r="A288" s="23" t="s">
        <v>735</v>
      </c>
      <c r="B288" s="23" t="s">
        <v>744</v>
      </c>
      <c r="C288" s="23" t="s">
        <v>745</v>
      </c>
      <c r="D288" s="23" t="s">
        <v>40</v>
      </c>
      <c r="E288">
        <v>5</v>
      </c>
      <c r="F288" s="23" t="s">
        <v>41</v>
      </c>
    </row>
    <row r="289" spans="1:6" x14ac:dyDescent="0.25">
      <c r="A289" s="23" t="s">
        <v>37</v>
      </c>
      <c r="B289" s="23" t="s">
        <v>473</v>
      </c>
      <c r="C289" s="23" t="s">
        <v>474</v>
      </c>
      <c r="D289" s="23" t="s">
        <v>40</v>
      </c>
      <c r="E289">
        <v>4</v>
      </c>
      <c r="F289" s="23" t="s">
        <v>112</v>
      </c>
    </row>
    <row r="290" spans="1:6" x14ac:dyDescent="0.25">
      <c r="A290" s="23" t="s">
        <v>37</v>
      </c>
      <c r="B290" s="23" t="s">
        <v>360</v>
      </c>
      <c r="C290" s="23" t="s">
        <v>361</v>
      </c>
      <c r="D290" s="23" t="s">
        <v>40</v>
      </c>
      <c r="E290">
        <v>112.99999999999999</v>
      </c>
      <c r="F290" s="23" t="s">
        <v>41</v>
      </c>
    </row>
    <row r="291" spans="1:6" x14ac:dyDescent="0.25">
      <c r="A291" s="23" t="s">
        <v>37</v>
      </c>
      <c r="B291" s="23" t="s">
        <v>445</v>
      </c>
      <c r="C291" s="23" t="s">
        <v>446</v>
      </c>
      <c r="D291" s="23" t="s">
        <v>40</v>
      </c>
      <c r="E291">
        <v>6</v>
      </c>
      <c r="F291" s="23" t="s">
        <v>112</v>
      </c>
    </row>
    <row r="292" spans="1:6" x14ac:dyDescent="0.25">
      <c r="A292" s="23" t="s">
        <v>37</v>
      </c>
      <c r="B292" s="23" t="s">
        <v>348</v>
      </c>
      <c r="C292" s="23" t="s">
        <v>349</v>
      </c>
      <c r="D292" s="23" t="s">
        <v>40</v>
      </c>
      <c r="E292">
        <v>206.00000000000003</v>
      </c>
      <c r="F292" s="23" t="s">
        <v>41</v>
      </c>
    </row>
    <row r="293" spans="1:6" x14ac:dyDescent="0.25">
      <c r="A293" s="23" t="s">
        <v>37</v>
      </c>
      <c r="B293" s="23" t="s">
        <v>475</v>
      </c>
      <c r="C293" s="23" t="s">
        <v>476</v>
      </c>
      <c r="D293" s="23" t="s">
        <v>40</v>
      </c>
      <c r="E293">
        <v>6</v>
      </c>
      <c r="F293" s="23" t="s">
        <v>112</v>
      </c>
    </row>
    <row r="294" spans="1:6" x14ac:dyDescent="0.25">
      <c r="A294" s="23" t="s">
        <v>37</v>
      </c>
      <c r="B294" s="23" t="s">
        <v>557</v>
      </c>
      <c r="C294" s="23" t="s">
        <v>558</v>
      </c>
      <c r="D294" s="23" t="s">
        <v>40</v>
      </c>
      <c r="E294">
        <v>82</v>
      </c>
      <c r="F294" s="23" t="s">
        <v>41</v>
      </c>
    </row>
    <row r="295" spans="1:6" x14ac:dyDescent="0.25">
      <c r="A295" s="23" t="s">
        <v>37</v>
      </c>
      <c r="B295" s="23" t="s">
        <v>693</v>
      </c>
      <c r="C295" s="23" t="s">
        <v>694</v>
      </c>
      <c r="D295" s="23" t="s">
        <v>40</v>
      </c>
      <c r="E295">
        <v>165</v>
      </c>
      <c r="F295" s="23" t="s">
        <v>41</v>
      </c>
    </row>
    <row r="296" spans="1:6" x14ac:dyDescent="0.25">
      <c r="A296" s="23" t="s">
        <v>37</v>
      </c>
      <c r="B296" s="23" t="s">
        <v>413</v>
      </c>
      <c r="C296" s="23" t="s">
        <v>414</v>
      </c>
      <c r="D296" s="23" t="s">
        <v>40</v>
      </c>
      <c r="E296">
        <v>6</v>
      </c>
      <c r="F296" s="23" t="s">
        <v>112</v>
      </c>
    </row>
    <row r="297" spans="1:6" x14ac:dyDescent="0.25">
      <c r="A297" s="23" t="s">
        <v>37</v>
      </c>
      <c r="B297" s="23" t="s">
        <v>423</v>
      </c>
      <c r="C297" s="23" t="s">
        <v>424</v>
      </c>
      <c r="D297" s="23" t="s">
        <v>40</v>
      </c>
      <c r="E297">
        <v>57</v>
      </c>
      <c r="F297" s="23" t="s">
        <v>41</v>
      </c>
    </row>
    <row r="298" spans="1:6" x14ac:dyDescent="0.25">
      <c r="A298" s="23" t="s">
        <v>37</v>
      </c>
      <c r="B298" s="23" t="s">
        <v>283</v>
      </c>
      <c r="C298" s="23" t="s">
        <v>284</v>
      </c>
      <c r="D298" s="23" t="s">
        <v>40</v>
      </c>
      <c r="E298">
        <v>93</v>
      </c>
      <c r="F298" s="23" t="s">
        <v>41</v>
      </c>
    </row>
    <row r="299" spans="1:6" x14ac:dyDescent="0.25">
      <c r="A299" s="23" t="s">
        <v>37</v>
      </c>
      <c r="B299" s="23" t="s">
        <v>711</v>
      </c>
      <c r="C299" s="23" t="s">
        <v>712</v>
      </c>
      <c r="D299" s="23" t="s">
        <v>40</v>
      </c>
      <c r="E299">
        <v>60</v>
      </c>
      <c r="F299" s="23" t="s">
        <v>41</v>
      </c>
    </row>
    <row r="300" spans="1:6" x14ac:dyDescent="0.25">
      <c r="A300" s="23" t="s">
        <v>37</v>
      </c>
      <c r="B300" s="23" t="s">
        <v>325</v>
      </c>
      <c r="C300" s="23" t="s">
        <v>326</v>
      </c>
      <c r="D300" s="23" t="s">
        <v>40</v>
      </c>
      <c r="E300">
        <v>15</v>
      </c>
      <c r="F300" s="23" t="s">
        <v>41</v>
      </c>
    </row>
    <row r="301" spans="1:6" x14ac:dyDescent="0.25">
      <c r="A301" s="23" t="s">
        <v>37</v>
      </c>
      <c r="B301" s="23" t="s">
        <v>596</v>
      </c>
      <c r="C301" s="23" t="s">
        <v>597</v>
      </c>
      <c r="D301" s="23" t="s">
        <v>40</v>
      </c>
      <c r="E301">
        <v>75</v>
      </c>
      <c r="F301" s="23" t="s">
        <v>41</v>
      </c>
    </row>
    <row r="302" spans="1:6" x14ac:dyDescent="0.25">
      <c r="A302" s="23" t="s">
        <v>37</v>
      </c>
      <c r="B302" s="23" t="s">
        <v>102</v>
      </c>
      <c r="C302" s="23" t="s">
        <v>103</v>
      </c>
      <c r="D302" s="23" t="s">
        <v>40</v>
      </c>
      <c r="E302">
        <v>324</v>
      </c>
      <c r="F302" s="23" t="s">
        <v>41</v>
      </c>
    </row>
    <row r="303" spans="1:6" x14ac:dyDescent="0.25">
      <c r="A303" s="23" t="s">
        <v>37</v>
      </c>
      <c r="B303" s="23" t="s">
        <v>86</v>
      </c>
      <c r="C303" s="23" t="s">
        <v>87</v>
      </c>
      <c r="D303" s="23" t="s">
        <v>40</v>
      </c>
      <c r="E303">
        <v>333</v>
      </c>
      <c r="F303" s="23" t="s">
        <v>41</v>
      </c>
    </row>
    <row r="304" spans="1:6" x14ac:dyDescent="0.25">
      <c r="A304" s="23" t="s">
        <v>37</v>
      </c>
      <c r="B304" s="23" t="s">
        <v>540</v>
      </c>
      <c r="C304" s="23" t="s">
        <v>541</v>
      </c>
      <c r="D304" s="23" t="s">
        <v>40</v>
      </c>
      <c r="E304">
        <v>96</v>
      </c>
      <c r="F304" s="23" t="s">
        <v>41</v>
      </c>
    </row>
    <row r="305" spans="1:6" x14ac:dyDescent="0.25">
      <c r="A305" s="23" t="s">
        <v>37</v>
      </c>
      <c r="B305" s="23" t="s">
        <v>137</v>
      </c>
      <c r="C305" s="23" t="s">
        <v>138</v>
      </c>
      <c r="D305" s="23" t="s">
        <v>40</v>
      </c>
      <c r="E305">
        <v>419.99999999999994</v>
      </c>
      <c r="F305" s="23" t="s">
        <v>41</v>
      </c>
    </row>
    <row r="306" spans="1:6" x14ac:dyDescent="0.25">
      <c r="A306" s="23" t="s">
        <v>37</v>
      </c>
      <c r="B306" s="23" t="s">
        <v>137</v>
      </c>
      <c r="C306" s="23" t="s">
        <v>138</v>
      </c>
      <c r="D306" s="23" t="s">
        <v>40</v>
      </c>
      <c r="E306">
        <v>45</v>
      </c>
      <c r="F306" s="23" t="s">
        <v>41</v>
      </c>
    </row>
    <row r="307" spans="1:6" x14ac:dyDescent="0.25">
      <c r="A307" s="23" t="s">
        <v>37</v>
      </c>
      <c r="B307" s="23" t="s">
        <v>117</v>
      </c>
      <c r="C307" s="23" t="s">
        <v>118</v>
      </c>
      <c r="D307" s="23" t="s">
        <v>40</v>
      </c>
      <c r="E307">
        <v>228</v>
      </c>
      <c r="F307" s="23" t="s">
        <v>41</v>
      </c>
    </row>
    <row r="308" spans="1:6" x14ac:dyDescent="0.25">
      <c r="A308" s="23" t="s">
        <v>37</v>
      </c>
      <c r="B308" s="23" t="s">
        <v>54</v>
      </c>
      <c r="C308" s="23" t="s">
        <v>55</v>
      </c>
      <c r="D308" s="23" t="s">
        <v>40</v>
      </c>
      <c r="E308">
        <v>48</v>
      </c>
      <c r="F308" s="23" t="s">
        <v>41</v>
      </c>
    </row>
    <row r="309" spans="1:6" x14ac:dyDescent="0.25">
      <c r="A309" s="23" t="s">
        <v>37</v>
      </c>
      <c r="B309" s="23" t="s">
        <v>54</v>
      </c>
      <c r="C309" s="23" t="s">
        <v>55</v>
      </c>
      <c r="D309" s="23" t="s">
        <v>40</v>
      </c>
      <c r="E309">
        <v>600</v>
      </c>
      <c r="F309" s="23" t="s">
        <v>41</v>
      </c>
    </row>
    <row r="310" spans="1:6" x14ac:dyDescent="0.25">
      <c r="A310" s="23" t="s">
        <v>735</v>
      </c>
      <c r="B310" s="23" t="s">
        <v>738</v>
      </c>
      <c r="C310" s="23" t="s">
        <v>739</v>
      </c>
      <c r="D310" s="23" t="s">
        <v>40</v>
      </c>
      <c r="E310">
        <v>142</v>
      </c>
      <c r="F310" s="23" t="s">
        <v>41</v>
      </c>
    </row>
    <row r="311" spans="1:6" x14ac:dyDescent="0.25">
      <c r="A311" s="23" t="s">
        <v>37</v>
      </c>
      <c r="B311" s="23" t="s">
        <v>490</v>
      </c>
      <c r="C311" s="23" t="s">
        <v>491</v>
      </c>
      <c r="D311" s="23" t="s">
        <v>40</v>
      </c>
      <c r="E311">
        <v>36</v>
      </c>
      <c r="F311" s="23" t="s">
        <v>41</v>
      </c>
    </row>
    <row r="312" spans="1:6" s="29" customFormat="1" x14ac:dyDescent="0.25">
      <c r="A312" s="28" t="s">
        <v>37</v>
      </c>
      <c r="B312" s="28" t="s">
        <v>110</v>
      </c>
      <c r="C312" s="28" t="s">
        <v>111</v>
      </c>
      <c r="D312" s="28" t="s">
        <v>40</v>
      </c>
      <c r="E312" s="29">
        <v>19</v>
      </c>
      <c r="F312" s="28" t="s">
        <v>112</v>
      </c>
    </row>
    <row r="313" spans="1:6" x14ac:dyDescent="0.25">
      <c r="A313" s="23" t="s">
        <v>37</v>
      </c>
      <c r="B313" s="23" t="s">
        <v>293</v>
      </c>
      <c r="C313" s="23" t="s">
        <v>294</v>
      </c>
      <c r="D313" s="23" t="s">
        <v>40</v>
      </c>
      <c r="E313">
        <v>12</v>
      </c>
      <c r="F313" s="23" t="s">
        <v>41</v>
      </c>
    </row>
    <row r="314" spans="1:6" x14ac:dyDescent="0.25">
      <c r="A314" s="23" t="s">
        <v>735</v>
      </c>
      <c r="B314" s="23" t="s">
        <v>780</v>
      </c>
      <c r="C314" s="23" t="s">
        <v>781</v>
      </c>
      <c r="D314" s="23" t="s">
        <v>40</v>
      </c>
      <c r="E314">
        <v>23</v>
      </c>
      <c r="F314" s="23" t="s">
        <v>41</v>
      </c>
    </row>
    <row r="315" spans="1:6" x14ac:dyDescent="0.25">
      <c r="A315" s="23" t="s">
        <v>37</v>
      </c>
      <c r="B315" s="23" t="s">
        <v>514</v>
      </c>
      <c r="C315" s="23" t="s">
        <v>515</v>
      </c>
      <c r="D315" s="23" t="s">
        <v>40</v>
      </c>
      <c r="E315">
        <v>6</v>
      </c>
      <c r="F315" s="23" t="s">
        <v>41</v>
      </c>
    </row>
    <row r="316" spans="1:6" x14ac:dyDescent="0.25">
      <c r="A316" s="23" t="s">
        <v>37</v>
      </c>
      <c r="B316" s="23" t="s">
        <v>178</v>
      </c>
      <c r="C316" s="23" t="s">
        <v>179</v>
      </c>
      <c r="D316" s="23" t="s">
        <v>40</v>
      </c>
      <c r="E316">
        <v>51</v>
      </c>
      <c r="F316" s="23" t="s">
        <v>41</v>
      </c>
    </row>
    <row r="317" spans="1:6" x14ac:dyDescent="0.25">
      <c r="A317" s="23" t="s">
        <v>735</v>
      </c>
      <c r="B317" s="23" t="s">
        <v>178</v>
      </c>
      <c r="C317" s="23" t="s">
        <v>179</v>
      </c>
      <c r="D317" s="23" t="s">
        <v>40</v>
      </c>
      <c r="E317">
        <v>17</v>
      </c>
      <c r="F317" s="23" t="s">
        <v>41</v>
      </c>
    </row>
    <row r="318" spans="1:6" x14ac:dyDescent="0.25">
      <c r="A318" s="23" t="s">
        <v>37</v>
      </c>
      <c r="B318" s="23" t="s">
        <v>669</v>
      </c>
      <c r="C318" s="23" t="s">
        <v>670</v>
      </c>
      <c r="D318" s="23" t="s">
        <v>40</v>
      </c>
      <c r="E318">
        <v>102</v>
      </c>
      <c r="F318" s="23" t="s">
        <v>41</v>
      </c>
    </row>
    <row r="319" spans="1:6" x14ac:dyDescent="0.25">
      <c r="A319" s="23" t="s">
        <v>37</v>
      </c>
      <c r="B319" s="23" t="s">
        <v>386</v>
      </c>
      <c r="C319" s="23" t="s">
        <v>387</v>
      </c>
      <c r="D319" s="23" t="s">
        <v>40</v>
      </c>
      <c r="E319">
        <v>24</v>
      </c>
      <c r="F319" s="23" t="s">
        <v>41</v>
      </c>
    </row>
    <row r="320" spans="1:6" x14ac:dyDescent="0.25">
      <c r="A320" s="23" t="s">
        <v>37</v>
      </c>
      <c r="B320" s="23" t="s">
        <v>439</v>
      </c>
      <c r="C320" s="23" t="s">
        <v>440</v>
      </c>
      <c r="D320" s="23" t="s">
        <v>40</v>
      </c>
      <c r="E320">
        <v>88</v>
      </c>
      <c r="F320" s="23" t="s">
        <v>41</v>
      </c>
    </row>
    <row r="321" spans="1:6" x14ac:dyDescent="0.25">
      <c r="A321" s="23" t="s">
        <v>37</v>
      </c>
      <c r="B321" s="23" t="s">
        <v>74</v>
      </c>
      <c r="C321" s="23" t="s">
        <v>75</v>
      </c>
      <c r="D321" s="23" t="s">
        <v>40</v>
      </c>
      <c r="E321">
        <v>111.00000000000001</v>
      </c>
      <c r="F321" s="23" t="s">
        <v>41</v>
      </c>
    </row>
    <row r="322" spans="1:6" x14ac:dyDescent="0.25">
      <c r="A322" s="23" t="s">
        <v>37</v>
      </c>
      <c r="B322" s="23" t="s">
        <v>671</v>
      </c>
      <c r="C322" s="23" t="s">
        <v>672</v>
      </c>
      <c r="D322" s="23" t="s">
        <v>40</v>
      </c>
      <c r="E322">
        <v>75</v>
      </c>
      <c r="F322" s="23" t="s">
        <v>41</v>
      </c>
    </row>
    <row r="323" spans="1:6" x14ac:dyDescent="0.25">
      <c r="A323" s="23" t="s">
        <v>37</v>
      </c>
      <c r="B323" s="23" t="s">
        <v>417</v>
      </c>
      <c r="C323" s="23" t="s">
        <v>418</v>
      </c>
      <c r="D323" s="23" t="s">
        <v>40</v>
      </c>
      <c r="E323">
        <v>41</v>
      </c>
      <c r="F323" s="23" t="s">
        <v>41</v>
      </c>
    </row>
    <row r="324" spans="1:6" x14ac:dyDescent="0.25">
      <c r="A324" s="23" t="s">
        <v>37</v>
      </c>
      <c r="B324" s="23" t="s">
        <v>568</v>
      </c>
      <c r="C324" s="23" t="s">
        <v>569</v>
      </c>
      <c r="D324" s="23" t="s">
        <v>40</v>
      </c>
      <c r="E324">
        <v>112</v>
      </c>
      <c r="F324" s="23" t="s">
        <v>41</v>
      </c>
    </row>
    <row r="325" spans="1:6" x14ac:dyDescent="0.25">
      <c r="A325" s="23" t="s">
        <v>37</v>
      </c>
      <c r="B325" s="23" t="s">
        <v>176</v>
      </c>
      <c r="C325" s="23" t="s">
        <v>177</v>
      </c>
      <c r="D325" s="23" t="s">
        <v>40</v>
      </c>
      <c r="E325">
        <v>19</v>
      </c>
      <c r="F325" s="23" t="s">
        <v>41</v>
      </c>
    </row>
    <row r="326" spans="1:6" x14ac:dyDescent="0.25">
      <c r="A326" s="23" t="s">
        <v>735</v>
      </c>
      <c r="B326" s="23" t="s">
        <v>176</v>
      </c>
      <c r="C326" s="23" t="s">
        <v>177</v>
      </c>
      <c r="D326" s="23" t="s">
        <v>40</v>
      </c>
      <c r="E326">
        <v>96</v>
      </c>
      <c r="F326" s="23" t="s">
        <v>41</v>
      </c>
    </row>
    <row r="327" spans="1:6" x14ac:dyDescent="0.25">
      <c r="A327" s="23" t="s">
        <v>37</v>
      </c>
      <c r="B327" s="23" t="s">
        <v>621</v>
      </c>
      <c r="C327" s="23" t="s">
        <v>622</v>
      </c>
      <c r="D327" s="23" t="s">
        <v>40</v>
      </c>
      <c r="E327">
        <v>51</v>
      </c>
      <c r="F327" s="23" t="s">
        <v>41</v>
      </c>
    </row>
    <row r="328" spans="1:6" x14ac:dyDescent="0.25">
      <c r="A328" s="23" t="s">
        <v>735</v>
      </c>
      <c r="B328" s="23" t="s">
        <v>621</v>
      </c>
      <c r="C328" s="23" t="s">
        <v>622</v>
      </c>
      <c r="D328" s="23" t="s">
        <v>40</v>
      </c>
      <c r="E328">
        <v>42</v>
      </c>
      <c r="F328" s="23" t="s">
        <v>41</v>
      </c>
    </row>
    <row r="329" spans="1:6" x14ac:dyDescent="0.25">
      <c r="A329" s="23" t="s">
        <v>735</v>
      </c>
      <c r="B329" s="23" t="s">
        <v>776</v>
      </c>
      <c r="C329" s="23" t="s">
        <v>777</v>
      </c>
      <c r="D329" s="23" t="s">
        <v>40</v>
      </c>
      <c r="E329">
        <v>9</v>
      </c>
      <c r="F329" s="23" t="s">
        <v>41</v>
      </c>
    </row>
    <row r="330" spans="1:6" x14ac:dyDescent="0.25">
      <c r="A330" s="23" t="s">
        <v>735</v>
      </c>
      <c r="B330" s="23" t="s">
        <v>766</v>
      </c>
      <c r="C330" s="23" t="s">
        <v>767</v>
      </c>
      <c r="D330" s="23" t="s">
        <v>40</v>
      </c>
      <c r="E330">
        <v>4</v>
      </c>
      <c r="F330" s="23" t="s">
        <v>41</v>
      </c>
    </row>
    <row r="331" spans="1:6" x14ac:dyDescent="0.25">
      <c r="A331" s="23" t="s">
        <v>37</v>
      </c>
      <c r="B331" s="23" t="s">
        <v>481</v>
      </c>
      <c r="C331" s="23" t="s">
        <v>482</v>
      </c>
      <c r="D331" s="23" t="s">
        <v>40</v>
      </c>
      <c r="E331">
        <v>10</v>
      </c>
      <c r="F331" s="23" t="s">
        <v>41</v>
      </c>
    </row>
    <row r="332" spans="1:6" x14ac:dyDescent="0.25">
      <c r="A332" s="23" t="s">
        <v>37</v>
      </c>
      <c r="B332" s="23" t="s">
        <v>180</v>
      </c>
      <c r="C332" s="23" t="s">
        <v>181</v>
      </c>
      <c r="D332" s="23" t="s">
        <v>40</v>
      </c>
      <c r="E332">
        <v>7</v>
      </c>
      <c r="F332" s="23" t="s">
        <v>41</v>
      </c>
    </row>
    <row r="333" spans="1:6" x14ac:dyDescent="0.25">
      <c r="A333" s="23" t="s">
        <v>735</v>
      </c>
      <c r="B333" s="23" t="s">
        <v>180</v>
      </c>
      <c r="C333" s="23" t="s">
        <v>181</v>
      </c>
      <c r="D333" s="23" t="s">
        <v>40</v>
      </c>
      <c r="E333">
        <v>14</v>
      </c>
      <c r="F333" s="23" t="s">
        <v>41</v>
      </c>
    </row>
    <row r="334" spans="1:6" x14ac:dyDescent="0.25">
      <c r="A334" s="23" t="s">
        <v>37</v>
      </c>
      <c r="B334" s="23" t="s">
        <v>487</v>
      </c>
      <c r="C334" s="23" t="s">
        <v>488</v>
      </c>
      <c r="D334" s="23" t="s">
        <v>40</v>
      </c>
      <c r="E334">
        <v>10</v>
      </c>
      <c r="F334" s="23" t="s">
        <v>41</v>
      </c>
    </row>
    <row r="335" spans="1:6" x14ac:dyDescent="0.25">
      <c r="A335" s="23" t="s">
        <v>735</v>
      </c>
      <c r="B335" s="23" t="s">
        <v>778</v>
      </c>
      <c r="C335" s="23" t="s">
        <v>779</v>
      </c>
      <c r="D335" s="23" t="s">
        <v>40</v>
      </c>
      <c r="E335">
        <v>12</v>
      </c>
      <c r="F335" s="23" t="s">
        <v>41</v>
      </c>
    </row>
    <row r="336" spans="1:6" x14ac:dyDescent="0.25">
      <c r="A336" s="23" t="s">
        <v>37</v>
      </c>
      <c r="B336" s="23" t="s">
        <v>182</v>
      </c>
      <c r="C336" s="23" t="s">
        <v>183</v>
      </c>
      <c r="D336" s="23" t="s">
        <v>40</v>
      </c>
      <c r="E336">
        <v>12</v>
      </c>
      <c r="F336" s="23" t="s">
        <v>41</v>
      </c>
    </row>
    <row r="337" spans="1:6" x14ac:dyDescent="0.25">
      <c r="A337" s="23" t="s">
        <v>37</v>
      </c>
      <c r="B337" s="23" t="s">
        <v>506</v>
      </c>
      <c r="C337" s="23" t="s">
        <v>507</v>
      </c>
      <c r="D337" s="23" t="s">
        <v>40</v>
      </c>
      <c r="E337">
        <v>13</v>
      </c>
      <c r="F337" s="23" t="s">
        <v>41</v>
      </c>
    </row>
    <row r="338" spans="1:6" x14ac:dyDescent="0.25">
      <c r="A338" s="23" t="s">
        <v>37</v>
      </c>
      <c r="B338" s="23" t="s">
        <v>447</v>
      </c>
      <c r="C338" s="23" t="s">
        <v>448</v>
      </c>
      <c r="D338" s="23" t="s">
        <v>40</v>
      </c>
      <c r="E338">
        <v>11</v>
      </c>
      <c r="F338" s="23" t="s">
        <v>41</v>
      </c>
    </row>
    <row r="339" spans="1:6" x14ac:dyDescent="0.25">
      <c r="A339" s="23" t="s">
        <v>735</v>
      </c>
      <c r="B339" s="23" t="s">
        <v>768</v>
      </c>
      <c r="C339" s="23" t="s">
        <v>769</v>
      </c>
      <c r="D339" s="23" t="s">
        <v>40</v>
      </c>
      <c r="E339">
        <v>6</v>
      </c>
      <c r="F339" s="23" t="s">
        <v>41</v>
      </c>
    </row>
    <row r="340" spans="1:6" x14ac:dyDescent="0.25">
      <c r="A340" s="23" t="s">
        <v>37</v>
      </c>
      <c r="B340" s="23" t="s">
        <v>555</v>
      </c>
      <c r="C340" s="23" t="s">
        <v>556</v>
      </c>
      <c r="D340" s="23" t="s">
        <v>40</v>
      </c>
      <c r="E340">
        <v>50</v>
      </c>
      <c r="F340" s="23" t="s">
        <v>41</v>
      </c>
    </row>
    <row r="341" spans="1:6" x14ac:dyDescent="0.25">
      <c r="A341" s="23" t="s">
        <v>735</v>
      </c>
      <c r="B341" s="23" t="s">
        <v>555</v>
      </c>
      <c r="C341" s="23" t="s">
        <v>556</v>
      </c>
      <c r="D341" s="23" t="s">
        <v>40</v>
      </c>
      <c r="E341">
        <v>13</v>
      </c>
      <c r="F341" s="23" t="s">
        <v>41</v>
      </c>
    </row>
    <row r="342" spans="1:6" x14ac:dyDescent="0.25">
      <c r="A342" s="23" t="s">
        <v>37</v>
      </c>
      <c r="B342" s="23" t="s">
        <v>172</v>
      </c>
      <c r="C342" s="23" t="s">
        <v>173</v>
      </c>
      <c r="D342" s="23" t="s">
        <v>40</v>
      </c>
      <c r="E342">
        <v>76</v>
      </c>
      <c r="F342" s="23" t="s">
        <v>41</v>
      </c>
    </row>
    <row r="343" spans="1:6" x14ac:dyDescent="0.25">
      <c r="A343" s="23" t="s">
        <v>37</v>
      </c>
      <c r="B343" s="23" t="s">
        <v>631</v>
      </c>
      <c r="C343" s="23" t="s">
        <v>632</v>
      </c>
      <c r="D343" s="23" t="s">
        <v>40</v>
      </c>
      <c r="E343">
        <v>78</v>
      </c>
      <c r="F343" s="23" t="s">
        <v>41</v>
      </c>
    </row>
    <row r="344" spans="1:6" x14ac:dyDescent="0.25">
      <c r="A344" s="23" t="s">
        <v>735</v>
      </c>
      <c r="B344" s="23" t="s">
        <v>631</v>
      </c>
      <c r="C344" s="23" t="s">
        <v>632</v>
      </c>
      <c r="D344" s="23" t="s">
        <v>40</v>
      </c>
      <c r="E344">
        <v>6</v>
      </c>
      <c r="F344" s="23" t="s">
        <v>41</v>
      </c>
    </row>
    <row r="345" spans="1:6" x14ac:dyDescent="0.25">
      <c r="A345" s="23" t="s">
        <v>37</v>
      </c>
      <c r="B345" s="23" t="s">
        <v>437</v>
      </c>
      <c r="C345" s="23" t="s">
        <v>438</v>
      </c>
      <c r="D345" s="23" t="s">
        <v>40</v>
      </c>
      <c r="E345">
        <v>17</v>
      </c>
      <c r="F345" s="23" t="s">
        <v>41</v>
      </c>
    </row>
    <row r="346" spans="1:6" x14ac:dyDescent="0.25">
      <c r="A346" s="23" t="s">
        <v>735</v>
      </c>
      <c r="B346" s="23" t="s">
        <v>437</v>
      </c>
      <c r="C346" s="23" t="s">
        <v>438</v>
      </c>
      <c r="D346" s="23" t="s">
        <v>40</v>
      </c>
      <c r="E346">
        <v>65</v>
      </c>
      <c r="F346" s="23" t="s">
        <v>41</v>
      </c>
    </row>
    <row r="347" spans="1:6" x14ac:dyDescent="0.25">
      <c r="A347" s="23" t="s">
        <v>37</v>
      </c>
      <c r="B347" s="23" t="s">
        <v>407</v>
      </c>
      <c r="C347" s="23" t="s">
        <v>408</v>
      </c>
      <c r="D347" s="23" t="s">
        <v>40</v>
      </c>
      <c r="E347">
        <v>148</v>
      </c>
      <c r="F347" s="23" t="s">
        <v>41</v>
      </c>
    </row>
    <row r="348" spans="1:6" x14ac:dyDescent="0.25">
      <c r="A348" s="23" t="s">
        <v>37</v>
      </c>
      <c r="B348" s="23" t="s">
        <v>687</v>
      </c>
      <c r="C348" s="23" t="s">
        <v>688</v>
      </c>
      <c r="D348" s="23" t="s">
        <v>40</v>
      </c>
      <c r="E348">
        <v>7</v>
      </c>
      <c r="F348" s="23" t="s">
        <v>41</v>
      </c>
    </row>
    <row r="349" spans="1:6" x14ac:dyDescent="0.25">
      <c r="A349" s="23" t="s">
        <v>735</v>
      </c>
      <c r="B349" s="23" t="s">
        <v>687</v>
      </c>
      <c r="C349" s="23" t="s">
        <v>688</v>
      </c>
      <c r="D349" s="23" t="s">
        <v>40</v>
      </c>
      <c r="E349">
        <v>57</v>
      </c>
      <c r="F349" s="23" t="s">
        <v>41</v>
      </c>
    </row>
    <row r="350" spans="1:6" x14ac:dyDescent="0.25">
      <c r="A350" s="23" t="s">
        <v>735</v>
      </c>
      <c r="B350" s="23" t="s">
        <v>748</v>
      </c>
      <c r="C350" s="23" t="s">
        <v>749</v>
      </c>
      <c r="D350" s="23" t="s">
        <v>40</v>
      </c>
      <c r="E350">
        <v>4</v>
      </c>
      <c r="F350" s="23" t="s">
        <v>41</v>
      </c>
    </row>
    <row r="351" spans="1:6" x14ac:dyDescent="0.25">
      <c r="A351" s="23" t="s">
        <v>37</v>
      </c>
      <c r="B351" s="23" t="s">
        <v>608</v>
      </c>
      <c r="C351" s="23" t="s">
        <v>609</v>
      </c>
      <c r="D351" s="23" t="s">
        <v>40</v>
      </c>
      <c r="E351">
        <v>65</v>
      </c>
      <c r="F351" s="23" t="s">
        <v>41</v>
      </c>
    </row>
    <row r="352" spans="1:6" x14ac:dyDescent="0.25">
      <c r="A352" s="23" t="s">
        <v>37</v>
      </c>
      <c r="B352" s="23" t="s">
        <v>72</v>
      </c>
      <c r="C352" s="23" t="s">
        <v>73</v>
      </c>
      <c r="D352" s="23" t="s">
        <v>40</v>
      </c>
      <c r="E352">
        <v>364</v>
      </c>
      <c r="F352" s="23" t="s">
        <v>41</v>
      </c>
    </row>
    <row r="353" spans="1:6" x14ac:dyDescent="0.25">
      <c r="A353" s="23" t="s">
        <v>37</v>
      </c>
      <c r="B353" s="23" t="s">
        <v>619</v>
      </c>
      <c r="C353" s="23" t="s">
        <v>620</v>
      </c>
      <c r="D353" s="23" t="s">
        <v>40</v>
      </c>
      <c r="E353">
        <v>80</v>
      </c>
      <c r="F353" s="23" t="s">
        <v>41</v>
      </c>
    </row>
    <row r="354" spans="1:6" x14ac:dyDescent="0.25">
      <c r="A354" s="23" t="s">
        <v>735</v>
      </c>
      <c r="B354" s="23" t="s">
        <v>619</v>
      </c>
      <c r="C354" s="23" t="s">
        <v>620</v>
      </c>
      <c r="D354" s="23" t="s">
        <v>40</v>
      </c>
      <c r="E354">
        <v>4</v>
      </c>
      <c r="F354" s="23" t="s">
        <v>41</v>
      </c>
    </row>
    <row r="355" spans="1:6" x14ac:dyDescent="0.25">
      <c r="A355" s="23" t="s">
        <v>37</v>
      </c>
      <c r="B355" s="23" t="s">
        <v>696</v>
      </c>
      <c r="C355" s="23" t="s">
        <v>697</v>
      </c>
      <c r="D355" s="23" t="s">
        <v>40</v>
      </c>
      <c r="E355">
        <v>53</v>
      </c>
      <c r="F355" s="23" t="s">
        <v>41</v>
      </c>
    </row>
    <row r="356" spans="1:6" x14ac:dyDescent="0.25">
      <c r="A356" s="23" t="s">
        <v>735</v>
      </c>
      <c r="B356" s="23" t="s">
        <v>696</v>
      </c>
      <c r="C356" s="23" t="s">
        <v>697</v>
      </c>
      <c r="D356" s="23" t="s">
        <v>40</v>
      </c>
      <c r="E356">
        <v>9</v>
      </c>
      <c r="F356" s="23" t="s">
        <v>41</v>
      </c>
    </row>
    <row r="357" spans="1:6" x14ac:dyDescent="0.25">
      <c r="A357" s="23" t="s">
        <v>735</v>
      </c>
      <c r="B357" s="23" t="s">
        <v>736</v>
      </c>
      <c r="C357" s="23" t="s">
        <v>737</v>
      </c>
      <c r="D357" s="23" t="s">
        <v>40</v>
      </c>
      <c r="E357">
        <v>48</v>
      </c>
      <c r="F357" s="23" t="s">
        <v>41</v>
      </c>
    </row>
    <row r="358" spans="1:6" x14ac:dyDescent="0.25">
      <c r="A358" s="23" t="s">
        <v>37</v>
      </c>
      <c r="B358" s="23" t="s">
        <v>492</v>
      </c>
      <c r="C358" s="23" t="s">
        <v>493</v>
      </c>
      <c r="D358" s="23" t="s">
        <v>40</v>
      </c>
      <c r="E358">
        <v>85</v>
      </c>
      <c r="F358" s="23" t="s">
        <v>41</v>
      </c>
    </row>
    <row r="359" spans="1:6" x14ac:dyDescent="0.25">
      <c r="A359" s="23" t="s">
        <v>37</v>
      </c>
      <c r="B359" s="23" t="s">
        <v>592</v>
      </c>
      <c r="C359" s="23" t="s">
        <v>593</v>
      </c>
      <c r="D359" s="23" t="s">
        <v>40</v>
      </c>
      <c r="E359">
        <v>64</v>
      </c>
      <c r="F359" s="23" t="s">
        <v>41</v>
      </c>
    </row>
    <row r="360" spans="1:6" x14ac:dyDescent="0.25">
      <c r="A360" s="23" t="s">
        <v>735</v>
      </c>
      <c r="B360" s="23" t="s">
        <v>592</v>
      </c>
      <c r="C360" s="23" t="s">
        <v>593</v>
      </c>
      <c r="D360" s="23" t="s">
        <v>40</v>
      </c>
      <c r="E360">
        <v>24</v>
      </c>
      <c r="F360" s="23" t="s">
        <v>41</v>
      </c>
    </row>
    <row r="361" spans="1:6" x14ac:dyDescent="0.25">
      <c r="A361" s="23" t="s">
        <v>37</v>
      </c>
      <c r="B361" s="23" t="s">
        <v>551</v>
      </c>
      <c r="C361" s="23" t="s">
        <v>552</v>
      </c>
      <c r="D361" s="23" t="s">
        <v>40</v>
      </c>
      <c r="E361">
        <v>141</v>
      </c>
      <c r="F361" s="23" t="s">
        <v>41</v>
      </c>
    </row>
    <row r="362" spans="1:6" x14ac:dyDescent="0.25">
      <c r="A362" s="23" t="s">
        <v>37</v>
      </c>
      <c r="B362" s="23" t="s">
        <v>701</v>
      </c>
      <c r="C362" s="23" t="s">
        <v>702</v>
      </c>
      <c r="D362" s="23" t="s">
        <v>40</v>
      </c>
      <c r="E362">
        <v>71</v>
      </c>
      <c r="F362" s="23" t="s">
        <v>41</v>
      </c>
    </row>
    <row r="363" spans="1:6" s="29" customFormat="1" x14ac:dyDescent="0.25">
      <c r="A363" s="28" t="s">
        <v>37</v>
      </c>
      <c r="B363" s="28" t="s">
        <v>577</v>
      </c>
      <c r="C363" s="28" t="s">
        <v>578</v>
      </c>
      <c r="D363" s="28" t="s">
        <v>40</v>
      </c>
      <c r="E363" s="29">
        <v>57</v>
      </c>
      <c r="F363" s="28" t="s">
        <v>41</v>
      </c>
    </row>
    <row r="364" spans="1:6" s="29" customFormat="1" x14ac:dyDescent="0.25">
      <c r="A364" s="28" t="s">
        <v>37</v>
      </c>
      <c r="B364" s="28" t="s">
        <v>321</v>
      </c>
      <c r="C364" s="28" t="s">
        <v>322</v>
      </c>
      <c r="D364" s="28" t="s">
        <v>40</v>
      </c>
      <c r="E364" s="29">
        <v>51</v>
      </c>
      <c r="F364" s="28" t="s">
        <v>41</v>
      </c>
    </row>
    <row r="365" spans="1:6" s="29" customFormat="1" x14ac:dyDescent="0.25">
      <c r="A365" s="28" t="s">
        <v>735</v>
      </c>
      <c r="B365" s="28" t="s">
        <v>782</v>
      </c>
      <c r="C365" s="28" t="s">
        <v>783</v>
      </c>
      <c r="D365" s="28" t="s">
        <v>40</v>
      </c>
      <c r="E365" s="29">
        <v>28</v>
      </c>
      <c r="F365" s="28" t="s">
        <v>41</v>
      </c>
    </row>
    <row r="366" spans="1:6" s="29" customFormat="1" x14ac:dyDescent="0.25">
      <c r="A366" s="28" t="s">
        <v>37</v>
      </c>
      <c r="B366" s="28" t="s">
        <v>542</v>
      </c>
      <c r="C366" s="28" t="s">
        <v>543</v>
      </c>
      <c r="D366" s="28" t="s">
        <v>40</v>
      </c>
      <c r="E366" s="29">
        <v>112</v>
      </c>
      <c r="F366" s="28" t="s">
        <v>41</v>
      </c>
    </row>
    <row r="367" spans="1:6" s="29" customFormat="1" x14ac:dyDescent="0.25">
      <c r="A367" s="28" t="s">
        <v>37</v>
      </c>
      <c r="B367" s="28" t="s">
        <v>707</v>
      </c>
      <c r="C367" s="28" t="s">
        <v>708</v>
      </c>
      <c r="D367" s="28" t="s">
        <v>40</v>
      </c>
      <c r="E367" s="29">
        <v>108.99999999999999</v>
      </c>
      <c r="F367" s="28" t="s">
        <v>41</v>
      </c>
    </row>
    <row r="368" spans="1:6" s="29" customFormat="1" x14ac:dyDescent="0.25">
      <c r="A368" s="28" t="s">
        <v>37</v>
      </c>
      <c r="B368" s="28" t="s">
        <v>257</v>
      </c>
      <c r="C368" s="28" t="s">
        <v>258</v>
      </c>
      <c r="D368" s="28" t="s">
        <v>40</v>
      </c>
      <c r="E368" s="29">
        <v>52</v>
      </c>
      <c r="F368" s="28" t="s">
        <v>41</v>
      </c>
    </row>
    <row r="369" spans="1:6" s="29" customFormat="1" x14ac:dyDescent="0.25">
      <c r="A369" s="28" t="s">
        <v>37</v>
      </c>
      <c r="B369" s="28" t="s">
        <v>194</v>
      </c>
      <c r="C369" s="28" t="s">
        <v>195</v>
      </c>
      <c r="D369" s="28" t="s">
        <v>40</v>
      </c>
      <c r="E369" s="29">
        <v>90</v>
      </c>
      <c r="F369" s="28" t="s">
        <v>41</v>
      </c>
    </row>
    <row r="370" spans="1:6" s="29" customFormat="1" x14ac:dyDescent="0.25">
      <c r="A370" s="28" t="s">
        <v>37</v>
      </c>
      <c r="B370" s="28" t="s">
        <v>210</v>
      </c>
      <c r="C370" s="28" t="s">
        <v>211</v>
      </c>
      <c r="D370" s="28" t="s">
        <v>40</v>
      </c>
      <c r="E370" s="29">
        <v>157</v>
      </c>
      <c r="F370" s="28" t="s">
        <v>41</v>
      </c>
    </row>
    <row r="371" spans="1:6" s="29" customFormat="1" x14ac:dyDescent="0.25">
      <c r="A371" s="28" t="s">
        <v>37</v>
      </c>
      <c r="B371" s="28" t="s">
        <v>303</v>
      </c>
      <c r="C371" s="28" t="s">
        <v>304</v>
      </c>
      <c r="D371" s="28" t="s">
        <v>40</v>
      </c>
      <c r="E371" s="29">
        <v>60</v>
      </c>
      <c r="F371" s="28" t="s">
        <v>41</v>
      </c>
    </row>
    <row r="372" spans="1:6" s="29" customFormat="1" x14ac:dyDescent="0.25">
      <c r="A372" s="28" t="s">
        <v>37</v>
      </c>
      <c r="B372" s="28" t="s">
        <v>263</v>
      </c>
      <c r="C372" s="28" t="s">
        <v>264</v>
      </c>
      <c r="D372" s="28" t="s">
        <v>40</v>
      </c>
      <c r="E372" s="29">
        <v>102</v>
      </c>
      <c r="F372" s="28" t="s">
        <v>41</v>
      </c>
    </row>
    <row r="373" spans="1:6" s="29" customFormat="1" x14ac:dyDescent="0.25">
      <c r="A373" s="28" t="s">
        <v>37</v>
      </c>
      <c r="B373" s="28" t="s">
        <v>566</v>
      </c>
      <c r="C373" s="28" t="s">
        <v>567</v>
      </c>
      <c r="D373" s="28" t="s">
        <v>40</v>
      </c>
      <c r="E373" s="29">
        <v>132</v>
      </c>
      <c r="F373" s="28" t="s">
        <v>41</v>
      </c>
    </row>
    <row r="374" spans="1:6" s="29" customFormat="1" x14ac:dyDescent="0.25">
      <c r="A374" s="28" t="s">
        <v>37</v>
      </c>
      <c r="B374" s="28" t="s">
        <v>673</v>
      </c>
      <c r="C374" s="28" t="s">
        <v>674</v>
      </c>
      <c r="D374" s="28" t="s">
        <v>40</v>
      </c>
      <c r="E374" s="29">
        <v>96</v>
      </c>
      <c r="F374" s="28" t="s">
        <v>41</v>
      </c>
    </row>
    <row r="375" spans="1:6" s="29" customFormat="1" x14ac:dyDescent="0.25">
      <c r="A375" s="28" t="s">
        <v>37</v>
      </c>
      <c r="B375" s="28" t="s">
        <v>60</v>
      </c>
      <c r="C375" s="28" t="s">
        <v>61</v>
      </c>
      <c r="D375" s="28" t="s">
        <v>40</v>
      </c>
      <c r="E375" s="29">
        <v>506.99999999999994</v>
      </c>
      <c r="F375" s="28" t="s">
        <v>41</v>
      </c>
    </row>
    <row r="376" spans="1:6" s="29" customFormat="1" x14ac:dyDescent="0.25">
      <c r="A376" s="28" t="s">
        <v>37</v>
      </c>
      <c r="B376" s="28" t="s">
        <v>317</v>
      </c>
      <c r="C376" s="28" t="s">
        <v>318</v>
      </c>
      <c r="D376" s="28" t="s">
        <v>40</v>
      </c>
      <c r="E376" s="29">
        <v>358</v>
      </c>
      <c r="F376" s="28" t="s">
        <v>41</v>
      </c>
    </row>
    <row r="377" spans="1:6" s="29" customFormat="1" x14ac:dyDescent="0.25">
      <c r="A377" s="28" t="s">
        <v>37</v>
      </c>
      <c r="B377" s="28" t="s">
        <v>429</v>
      </c>
      <c r="C377" s="28" t="s">
        <v>430</v>
      </c>
      <c r="D377" s="28" t="s">
        <v>40</v>
      </c>
      <c r="E377" s="29">
        <v>72</v>
      </c>
      <c r="F377" s="28" t="s">
        <v>41</v>
      </c>
    </row>
    <row r="378" spans="1:6" s="29" customFormat="1" x14ac:dyDescent="0.25">
      <c r="A378" s="28" t="s">
        <v>37</v>
      </c>
      <c r="B378" s="28" t="s">
        <v>131</v>
      </c>
      <c r="C378" s="28" t="s">
        <v>132</v>
      </c>
      <c r="D378" s="28" t="s">
        <v>40</v>
      </c>
      <c r="E378" s="29">
        <v>249.99999999999997</v>
      </c>
      <c r="F378" s="28" t="s">
        <v>41</v>
      </c>
    </row>
    <row r="379" spans="1:6" s="29" customFormat="1" x14ac:dyDescent="0.25">
      <c r="A379" s="28" t="s">
        <v>37</v>
      </c>
      <c r="B379" s="28" t="s">
        <v>52</v>
      </c>
      <c r="C379" s="28" t="s">
        <v>53</v>
      </c>
      <c r="D379" s="28" t="s">
        <v>40</v>
      </c>
      <c r="E379" s="29">
        <v>79</v>
      </c>
      <c r="F379" s="28" t="s">
        <v>41</v>
      </c>
    </row>
    <row r="380" spans="1:6" s="29" customFormat="1" x14ac:dyDescent="0.25">
      <c r="A380" s="28" t="s">
        <v>37</v>
      </c>
      <c r="B380" s="28" t="s">
        <v>80</v>
      </c>
      <c r="C380" s="28" t="s">
        <v>81</v>
      </c>
      <c r="D380" s="28" t="s">
        <v>40</v>
      </c>
      <c r="E380" s="29">
        <v>572</v>
      </c>
      <c r="F380" s="28" t="s">
        <v>41</v>
      </c>
    </row>
    <row r="381" spans="1:6" s="29" customFormat="1" x14ac:dyDescent="0.25">
      <c r="A381" s="28" t="s">
        <v>37</v>
      </c>
      <c r="B381" s="28" t="s">
        <v>683</v>
      </c>
      <c r="C381" s="28" t="s">
        <v>684</v>
      </c>
      <c r="D381" s="28" t="s">
        <v>40</v>
      </c>
      <c r="E381" s="29">
        <v>90</v>
      </c>
      <c r="F381" s="28" t="s">
        <v>41</v>
      </c>
    </row>
    <row r="382" spans="1:6" s="29" customFormat="1" x14ac:dyDescent="0.25">
      <c r="A382" s="28" t="s">
        <v>37</v>
      </c>
      <c r="B382" s="28" t="s">
        <v>115</v>
      </c>
      <c r="C382" s="28" t="s">
        <v>116</v>
      </c>
      <c r="D382" s="28" t="s">
        <v>40</v>
      </c>
      <c r="E382" s="29">
        <v>615</v>
      </c>
      <c r="F382" s="28" t="s">
        <v>41</v>
      </c>
    </row>
    <row r="383" spans="1:6" x14ac:dyDescent="0.25">
      <c r="A383" s="23" t="s">
        <v>37</v>
      </c>
      <c r="B383" s="23" t="s">
        <v>494</v>
      </c>
      <c r="C383" s="23" t="s">
        <v>495</v>
      </c>
      <c r="D383" s="23" t="s">
        <v>40</v>
      </c>
      <c r="E383">
        <v>3</v>
      </c>
      <c r="F383" s="23" t="s">
        <v>41</v>
      </c>
    </row>
    <row r="384" spans="1:6" x14ac:dyDescent="0.25">
      <c r="A384" s="23" t="s">
        <v>37</v>
      </c>
      <c r="B384" s="23" t="s">
        <v>524</v>
      </c>
      <c r="C384" s="23" t="s">
        <v>525</v>
      </c>
      <c r="D384" s="23" t="s">
        <v>40</v>
      </c>
      <c r="E384">
        <v>12</v>
      </c>
      <c r="F384" s="23" t="s">
        <v>41</v>
      </c>
    </row>
    <row r="385" spans="1:6" x14ac:dyDescent="0.25">
      <c r="A385" s="23" t="s">
        <v>37</v>
      </c>
      <c r="B385" s="23" t="s">
        <v>233</v>
      </c>
      <c r="C385" s="23" t="s">
        <v>234</v>
      </c>
      <c r="D385" s="23" t="s">
        <v>40</v>
      </c>
      <c r="E385">
        <v>14</v>
      </c>
      <c r="F385" s="23" t="s">
        <v>41</v>
      </c>
    </row>
    <row r="386" spans="1:6" x14ac:dyDescent="0.25">
      <c r="A386" s="23" t="s">
        <v>37</v>
      </c>
      <c r="B386" s="23" t="s">
        <v>536</v>
      </c>
      <c r="C386" s="23" t="s">
        <v>537</v>
      </c>
      <c r="D386" s="23" t="s">
        <v>40</v>
      </c>
      <c r="E386">
        <v>12</v>
      </c>
      <c r="F386" s="23" t="s">
        <v>41</v>
      </c>
    </row>
    <row r="387" spans="1:6" x14ac:dyDescent="0.25">
      <c r="A387" s="23" t="s">
        <v>37</v>
      </c>
      <c r="B387" s="23" t="s">
        <v>612</v>
      </c>
      <c r="C387" s="23" t="s">
        <v>613</v>
      </c>
      <c r="D387" s="23" t="s">
        <v>40</v>
      </c>
      <c r="E387">
        <v>18</v>
      </c>
      <c r="F387" s="23" t="s">
        <v>41</v>
      </c>
    </row>
    <row r="388" spans="1:6" x14ac:dyDescent="0.25">
      <c r="A388" s="23" t="s">
        <v>37</v>
      </c>
      <c r="B388" s="23" t="s">
        <v>388</v>
      </c>
      <c r="C388" s="23" t="s">
        <v>389</v>
      </c>
      <c r="D388" s="23" t="s">
        <v>40</v>
      </c>
      <c r="E388">
        <v>3</v>
      </c>
      <c r="F388" s="23" t="s">
        <v>112</v>
      </c>
    </row>
    <row r="389" spans="1:6" x14ac:dyDescent="0.25">
      <c r="A389" s="23" t="s">
        <v>37</v>
      </c>
      <c r="B389" s="23" t="s">
        <v>287</v>
      </c>
      <c r="C389" s="23" t="s">
        <v>288</v>
      </c>
      <c r="D389" s="23" t="s">
        <v>40</v>
      </c>
      <c r="E389">
        <v>7</v>
      </c>
      <c r="F389" s="23" t="s">
        <v>112</v>
      </c>
    </row>
    <row r="390" spans="1:6" x14ac:dyDescent="0.25">
      <c r="A390" s="23" t="s">
        <v>37</v>
      </c>
      <c r="B390" s="23" t="s">
        <v>356</v>
      </c>
      <c r="C390" s="23" t="s">
        <v>357</v>
      </c>
      <c r="D390" s="23" t="s">
        <v>40</v>
      </c>
      <c r="E390">
        <v>2</v>
      </c>
      <c r="F390" s="23" t="s">
        <v>112</v>
      </c>
    </row>
    <row r="391" spans="1:6" x14ac:dyDescent="0.25">
      <c r="A391" s="23" t="s">
        <v>37</v>
      </c>
      <c r="B391" s="23" t="s">
        <v>267</v>
      </c>
      <c r="C391" s="23" t="s">
        <v>268</v>
      </c>
      <c r="D391" s="23" t="s">
        <v>40</v>
      </c>
      <c r="E391">
        <v>2</v>
      </c>
      <c r="F391" s="23" t="s">
        <v>112</v>
      </c>
    </row>
    <row r="392" spans="1:6" x14ac:dyDescent="0.25">
      <c r="A392" s="23" t="s">
        <v>37</v>
      </c>
      <c r="B392" s="23" t="s">
        <v>427</v>
      </c>
      <c r="C392" s="23" t="s">
        <v>428</v>
      </c>
      <c r="D392" s="23" t="s">
        <v>40</v>
      </c>
      <c r="E392">
        <v>3</v>
      </c>
      <c r="F392" s="23" t="s">
        <v>41</v>
      </c>
    </row>
    <row r="393" spans="1:6" x14ac:dyDescent="0.25">
      <c r="A393" s="23" t="s">
        <v>37</v>
      </c>
      <c r="B393" s="23" t="s">
        <v>508</v>
      </c>
      <c r="C393" s="23" t="s">
        <v>509</v>
      </c>
      <c r="D393" s="23" t="s">
        <v>40</v>
      </c>
      <c r="E393">
        <v>12</v>
      </c>
      <c r="F393" s="23" t="s">
        <v>41</v>
      </c>
    </row>
    <row r="394" spans="1:6" x14ac:dyDescent="0.25">
      <c r="A394" s="23" t="s">
        <v>37</v>
      </c>
      <c r="B394" s="23" t="s">
        <v>378</v>
      </c>
      <c r="C394" s="23" t="s">
        <v>379</v>
      </c>
      <c r="D394" s="23" t="s">
        <v>40</v>
      </c>
      <c r="E394">
        <v>24</v>
      </c>
      <c r="F394" s="23" t="s">
        <v>41</v>
      </c>
    </row>
    <row r="395" spans="1:6" x14ac:dyDescent="0.25">
      <c r="A395" s="23" t="s">
        <v>37</v>
      </c>
      <c r="B395" s="23" t="s">
        <v>382</v>
      </c>
      <c r="C395" s="23" t="s">
        <v>383</v>
      </c>
      <c r="D395" s="23" t="s">
        <v>40</v>
      </c>
      <c r="E395">
        <v>54</v>
      </c>
      <c r="F395" s="23" t="s">
        <v>41</v>
      </c>
    </row>
    <row r="396" spans="1:6" x14ac:dyDescent="0.25">
      <c r="A396" s="23" t="s">
        <v>37</v>
      </c>
      <c r="B396" s="23" t="s">
        <v>392</v>
      </c>
      <c r="C396" s="23" t="s">
        <v>393</v>
      </c>
      <c r="D396" s="23" t="s">
        <v>40</v>
      </c>
      <c r="E396">
        <v>108</v>
      </c>
      <c r="F396" s="23" t="s">
        <v>41</v>
      </c>
    </row>
    <row r="397" spans="1:6" x14ac:dyDescent="0.25">
      <c r="A397" s="23" t="s">
        <v>37</v>
      </c>
      <c r="B397" s="23" t="s">
        <v>465</v>
      </c>
      <c r="C397" s="23" t="s">
        <v>466</v>
      </c>
      <c r="D397" s="23" t="s">
        <v>40</v>
      </c>
      <c r="E397">
        <v>12</v>
      </c>
      <c r="F397" s="23" t="s">
        <v>112</v>
      </c>
    </row>
    <row r="398" spans="1:6" x14ac:dyDescent="0.25">
      <c r="A398" s="23" t="s">
        <v>37</v>
      </c>
      <c r="B398" s="23" t="s">
        <v>206</v>
      </c>
      <c r="C398" s="23" t="s">
        <v>207</v>
      </c>
      <c r="D398" s="23" t="s">
        <v>40</v>
      </c>
      <c r="E398">
        <v>20</v>
      </c>
      <c r="F398" s="23" t="s">
        <v>41</v>
      </c>
    </row>
    <row r="399" spans="1:6" x14ac:dyDescent="0.25">
      <c r="A399" s="23" t="s">
        <v>37</v>
      </c>
      <c r="B399" s="23" t="s">
        <v>489</v>
      </c>
      <c r="C399" s="23" t="s">
        <v>290</v>
      </c>
      <c r="D399" s="23" t="s">
        <v>40</v>
      </c>
      <c r="E399">
        <v>24</v>
      </c>
      <c r="F399" s="23" t="s">
        <v>41</v>
      </c>
    </row>
    <row r="400" spans="1:6" x14ac:dyDescent="0.25">
      <c r="A400" s="23" t="s">
        <v>37</v>
      </c>
      <c r="B400" s="23" t="s">
        <v>655</v>
      </c>
      <c r="C400" s="23" t="s">
        <v>656</v>
      </c>
      <c r="D400" s="23" t="s">
        <v>40</v>
      </c>
      <c r="E400">
        <v>3</v>
      </c>
      <c r="F400" s="23" t="s">
        <v>112</v>
      </c>
    </row>
    <row r="401" spans="1:6" x14ac:dyDescent="0.25">
      <c r="A401" s="23" t="s">
        <v>37</v>
      </c>
      <c r="B401" s="23" t="s">
        <v>358</v>
      </c>
      <c r="C401" s="23" t="s">
        <v>359</v>
      </c>
      <c r="D401" s="23" t="s">
        <v>40</v>
      </c>
      <c r="E401">
        <v>1</v>
      </c>
      <c r="F401" s="23" t="s">
        <v>112</v>
      </c>
    </row>
    <row r="402" spans="1:6" x14ac:dyDescent="0.25">
      <c r="A402" s="23" t="s">
        <v>37</v>
      </c>
      <c r="B402" s="23" t="s">
        <v>171</v>
      </c>
      <c r="C402" s="23" t="s">
        <v>164</v>
      </c>
      <c r="D402" s="23" t="s">
        <v>40</v>
      </c>
      <c r="E402">
        <v>36</v>
      </c>
      <c r="F402" s="23" t="s">
        <v>41</v>
      </c>
    </row>
    <row r="403" spans="1:6" x14ac:dyDescent="0.25">
      <c r="A403" s="23" t="s">
        <v>37</v>
      </c>
      <c r="B403" s="23" t="s">
        <v>289</v>
      </c>
      <c r="C403" s="23" t="s">
        <v>290</v>
      </c>
      <c r="D403" s="23" t="s">
        <v>40</v>
      </c>
      <c r="E403">
        <v>24</v>
      </c>
      <c r="F403" s="23" t="s">
        <v>41</v>
      </c>
    </row>
    <row r="404" spans="1:6" x14ac:dyDescent="0.25">
      <c r="A404" s="23" t="s">
        <v>37</v>
      </c>
      <c r="B404" s="23" t="s">
        <v>123</v>
      </c>
      <c r="C404" s="23" t="s">
        <v>124</v>
      </c>
      <c r="D404" s="23" t="s">
        <v>40</v>
      </c>
      <c r="E404">
        <v>138</v>
      </c>
      <c r="F404" s="23" t="s">
        <v>41</v>
      </c>
    </row>
    <row r="405" spans="1:6" x14ac:dyDescent="0.25">
      <c r="A405" s="23" t="s">
        <v>37</v>
      </c>
      <c r="B405" s="23" t="s">
        <v>275</v>
      </c>
      <c r="C405" s="23" t="s">
        <v>276</v>
      </c>
      <c r="D405" s="23" t="s">
        <v>40</v>
      </c>
      <c r="E405">
        <v>48</v>
      </c>
      <c r="F405" s="23" t="s">
        <v>41</v>
      </c>
    </row>
    <row r="406" spans="1:6" x14ac:dyDescent="0.25">
      <c r="A406" s="23" t="s">
        <v>37</v>
      </c>
      <c r="B406" s="23" t="s">
        <v>698</v>
      </c>
      <c r="C406" s="23" t="s">
        <v>699</v>
      </c>
      <c r="D406" s="23" t="s">
        <v>40</v>
      </c>
      <c r="E406">
        <v>156</v>
      </c>
      <c r="F406" s="23" t="s">
        <v>41</v>
      </c>
    </row>
    <row r="407" spans="1:6" x14ac:dyDescent="0.25">
      <c r="A407" s="23" t="s">
        <v>37</v>
      </c>
      <c r="B407" s="23" t="s">
        <v>163</v>
      </c>
      <c r="C407" s="23" t="s">
        <v>164</v>
      </c>
      <c r="D407" s="23" t="s">
        <v>40</v>
      </c>
      <c r="E407">
        <v>6</v>
      </c>
      <c r="F407" s="23" t="s">
        <v>41</v>
      </c>
    </row>
    <row r="408" spans="1:6" x14ac:dyDescent="0.25">
      <c r="A408" s="23" t="s">
        <v>37</v>
      </c>
      <c r="B408" s="23" t="s">
        <v>129</v>
      </c>
      <c r="C408" s="23" t="s">
        <v>130</v>
      </c>
      <c r="D408" s="23" t="s">
        <v>40</v>
      </c>
      <c r="E408">
        <v>209.99999999999997</v>
      </c>
      <c r="F408" s="23" t="s">
        <v>41</v>
      </c>
    </row>
    <row r="409" spans="1:6" x14ac:dyDescent="0.25">
      <c r="A409" s="23" t="s">
        <v>37</v>
      </c>
      <c r="B409" s="23" t="s">
        <v>129</v>
      </c>
      <c r="C409" s="23" t="s">
        <v>130</v>
      </c>
      <c r="D409" s="23" t="s">
        <v>40</v>
      </c>
      <c r="E409">
        <v>768</v>
      </c>
      <c r="F409" s="23" t="s">
        <v>41</v>
      </c>
    </row>
    <row r="410" spans="1:6" x14ac:dyDescent="0.25">
      <c r="A410" s="23" t="s">
        <v>37</v>
      </c>
      <c r="B410" s="23" t="s">
        <v>337</v>
      </c>
      <c r="C410" s="23" t="s">
        <v>290</v>
      </c>
      <c r="D410" s="23" t="s">
        <v>40</v>
      </c>
      <c r="E410">
        <v>6</v>
      </c>
      <c r="F410" s="23" t="s">
        <v>41</v>
      </c>
    </row>
    <row r="411" spans="1:6" x14ac:dyDescent="0.25">
      <c r="A411" s="23" t="s">
        <v>37</v>
      </c>
      <c r="B411" s="23" t="s">
        <v>90</v>
      </c>
      <c r="C411" s="23" t="s">
        <v>91</v>
      </c>
      <c r="D411" s="23" t="s">
        <v>40</v>
      </c>
      <c r="E411">
        <v>702</v>
      </c>
      <c r="F411" s="23" t="s">
        <v>41</v>
      </c>
    </row>
    <row r="412" spans="1:6" x14ac:dyDescent="0.25">
      <c r="A412" s="23" t="s">
        <v>37</v>
      </c>
      <c r="B412" s="23" t="s">
        <v>223</v>
      </c>
      <c r="C412" s="23" t="s">
        <v>224</v>
      </c>
      <c r="D412" s="23" t="s">
        <v>40</v>
      </c>
      <c r="E412">
        <v>68</v>
      </c>
      <c r="F412" s="23" t="s">
        <v>41</v>
      </c>
    </row>
    <row r="413" spans="1:6" x14ac:dyDescent="0.25">
      <c r="A413" s="23" t="s">
        <v>37</v>
      </c>
      <c r="B413" s="23" t="s">
        <v>216</v>
      </c>
      <c r="C413" s="23" t="s">
        <v>164</v>
      </c>
      <c r="D413" s="23" t="s">
        <v>40</v>
      </c>
      <c r="E413">
        <v>6</v>
      </c>
      <c r="F413" s="23" t="s">
        <v>41</v>
      </c>
    </row>
    <row r="414" spans="1:6" x14ac:dyDescent="0.25">
      <c r="A414" s="23" t="s">
        <v>37</v>
      </c>
      <c r="B414" s="23" t="s">
        <v>58</v>
      </c>
      <c r="C414" s="23" t="s">
        <v>59</v>
      </c>
      <c r="D414" s="23" t="s">
        <v>40</v>
      </c>
      <c r="E414">
        <v>83</v>
      </c>
      <c r="F414" s="23" t="s">
        <v>41</v>
      </c>
    </row>
    <row r="415" spans="1:6" x14ac:dyDescent="0.25">
      <c r="A415" s="23" t="s">
        <v>37</v>
      </c>
      <c r="B415" s="23" t="s">
        <v>277</v>
      </c>
      <c r="C415" s="23" t="s">
        <v>278</v>
      </c>
      <c r="D415" s="23" t="s">
        <v>40</v>
      </c>
      <c r="E415">
        <v>12</v>
      </c>
      <c r="F415" s="23" t="s">
        <v>41</v>
      </c>
    </row>
    <row r="416" spans="1:6" x14ac:dyDescent="0.25">
      <c r="A416" s="23" t="s">
        <v>37</v>
      </c>
      <c r="B416" s="23" t="s">
        <v>82</v>
      </c>
      <c r="C416" s="23" t="s">
        <v>83</v>
      </c>
      <c r="D416" s="23" t="s">
        <v>40</v>
      </c>
      <c r="E416">
        <v>630</v>
      </c>
      <c r="F416" s="23" t="s">
        <v>41</v>
      </c>
    </row>
    <row r="417" spans="1:6" x14ac:dyDescent="0.25">
      <c r="A417" s="23" t="s">
        <v>37</v>
      </c>
      <c r="B417" s="23" t="s">
        <v>76</v>
      </c>
      <c r="C417" s="23" t="s">
        <v>77</v>
      </c>
      <c r="D417" s="23" t="s">
        <v>40</v>
      </c>
      <c r="E417">
        <v>357</v>
      </c>
      <c r="F417" s="23" t="s">
        <v>41</v>
      </c>
    </row>
    <row r="418" spans="1:6" x14ac:dyDescent="0.25">
      <c r="A418" s="23" t="s">
        <v>37</v>
      </c>
      <c r="B418" s="23" t="s">
        <v>477</v>
      </c>
      <c r="C418" s="23" t="s">
        <v>478</v>
      </c>
      <c r="D418" s="23" t="s">
        <v>40</v>
      </c>
      <c r="E418">
        <v>12</v>
      </c>
      <c r="F418" s="23" t="s">
        <v>41</v>
      </c>
    </row>
    <row r="419" spans="1:6" x14ac:dyDescent="0.25">
      <c r="A419" s="23" t="s">
        <v>37</v>
      </c>
      <c r="B419" s="23" t="s">
        <v>502</v>
      </c>
      <c r="C419" s="23" t="s">
        <v>503</v>
      </c>
      <c r="D419" s="23" t="s">
        <v>40</v>
      </c>
      <c r="E419">
        <v>24</v>
      </c>
      <c r="F419" s="23" t="s">
        <v>41</v>
      </c>
    </row>
    <row r="420" spans="1:6" x14ac:dyDescent="0.25">
      <c r="A420" s="23" t="s">
        <v>37</v>
      </c>
      <c r="B420" s="23" t="s">
        <v>338</v>
      </c>
      <c r="C420" s="23" t="s">
        <v>339</v>
      </c>
      <c r="D420" s="23" t="s">
        <v>40</v>
      </c>
      <c r="E420">
        <v>161</v>
      </c>
      <c r="F420" s="23" t="s">
        <v>41</v>
      </c>
    </row>
    <row r="421" spans="1:6" x14ac:dyDescent="0.25">
      <c r="A421" s="23" t="s">
        <v>37</v>
      </c>
      <c r="B421" s="23" t="s">
        <v>733</v>
      </c>
      <c r="C421" s="23" t="s">
        <v>734</v>
      </c>
      <c r="D421" s="23" t="s">
        <v>40</v>
      </c>
      <c r="E421">
        <v>180</v>
      </c>
      <c r="F421" s="23" t="s">
        <v>41</v>
      </c>
    </row>
    <row r="422" spans="1:6" x14ac:dyDescent="0.25">
      <c r="A422" s="23" t="s">
        <v>37</v>
      </c>
      <c r="B422" s="23" t="s">
        <v>311</v>
      </c>
      <c r="C422" s="23" t="s">
        <v>312</v>
      </c>
      <c r="D422" s="23" t="s">
        <v>40</v>
      </c>
      <c r="E422">
        <v>12</v>
      </c>
      <c r="F422" s="23" t="s">
        <v>41</v>
      </c>
    </row>
    <row r="423" spans="1:6" x14ac:dyDescent="0.25">
      <c r="A423" s="23" t="s">
        <v>37</v>
      </c>
      <c r="B423" s="23" t="s">
        <v>125</v>
      </c>
      <c r="C423" s="23" t="s">
        <v>126</v>
      </c>
      <c r="D423" s="23" t="s">
        <v>40</v>
      </c>
      <c r="E423">
        <v>498</v>
      </c>
      <c r="F423" s="23" t="s">
        <v>41</v>
      </c>
    </row>
    <row r="424" spans="1:6" s="29" customFormat="1" x14ac:dyDescent="0.25">
      <c r="A424" s="28" t="s">
        <v>37</v>
      </c>
      <c r="B424" s="28" t="s">
        <v>419</v>
      </c>
      <c r="C424" s="28" t="s">
        <v>420</v>
      </c>
      <c r="D424" s="28" t="s">
        <v>40</v>
      </c>
      <c r="E424" s="29">
        <v>149</v>
      </c>
      <c r="F424" s="28" t="s">
        <v>41</v>
      </c>
    </row>
    <row r="425" spans="1:6" s="29" customFormat="1" x14ac:dyDescent="0.25">
      <c r="A425" s="28" t="s">
        <v>37</v>
      </c>
      <c r="B425" s="28" t="s">
        <v>96</v>
      </c>
      <c r="C425" s="28" t="s">
        <v>97</v>
      </c>
      <c r="D425" s="28" t="s">
        <v>40</v>
      </c>
      <c r="E425" s="29">
        <v>460.00000000000006</v>
      </c>
      <c r="F425" s="28" t="s">
        <v>41</v>
      </c>
    </row>
    <row r="426" spans="1:6" s="29" customFormat="1" x14ac:dyDescent="0.25">
      <c r="A426" s="28" t="s">
        <v>37</v>
      </c>
      <c r="B426" s="28" t="s">
        <v>261</v>
      </c>
      <c r="C426" s="28" t="s">
        <v>262</v>
      </c>
      <c r="D426" s="28" t="s">
        <v>40</v>
      </c>
      <c r="E426" s="29">
        <v>100</v>
      </c>
      <c r="F426" s="28" t="s">
        <v>41</v>
      </c>
    </row>
    <row r="427" spans="1:6" s="29" customFormat="1" x14ac:dyDescent="0.25">
      <c r="A427" s="28" t="s">
        <v>37</v>
      </c>
      <c r="B427" s="28" t="s">
        <v>623</v>
      </c>
      <c r="C427" s="28" t="s">
        <v>624</v>
      </c>
      <c r="D427" s="28" t="s">
        <v>40</v>
      </c>
      <c r="E427" s="29">
        <v>81</v>
      </c>
      <c r="F427" s="28" t="s">
        <v>41</v>
      </c>
    </row>
    <row r="428" spans="1:6" s="29" customFormat="1" x14ac:dyDescent="0.25">
      <c r="A428" s="28" t="s">
        <v>37</v>
      </c>
      <c r="B428" s="28" t="s">
        <v>121</v>
      </c>
      <c r="C428" s="28" t="s">
        <v>122</v>
      </c>
      <c r="D428" s="28" t="s">
        <v>40</v>
      </c>
      <c r="E428" s="29">
        <v>240</v>
      </c>
      <c r="F428" s="28" t="s">
        <v>41</v>
      </c>
    </row>
    <row r="429" spans="1:6" s="29" customFormat="1" x14ac:dyDescent="0.25">
      <c r="A429" s="28" t="s">
        <v>37</v>
      </c>
      <c r="B429" s="28" t="s">
        <v>372</v>
      </c>
      <c r="C429" s="28" t="s">
        <v>373</v>
      </c>
      <c r="D429" s="28" t="s">
        <v>40</v>
      </c>
      <c r="E429" s="29">
        <v>126</v>
      </c>
      <c r="F429" s="28" t="s">
        <v>41</v>
      </c>
    </row>
    <row r="430" spans="1:6" s="29" customFormat="1" x14ac:dyDescent="0.25">
      <c r="A430" s="28" t="s">
        <v>37</v>
      </c>
      <c r="B430" s="28" t="s">
        <v>441</v>
      </c>
      <c r="C430" s="28" t="s">
        <v>442</v>
      </c>
      <c r="D430" s="28" t="s">
        <v>40</v>
      </c>
      <c r="E430" s="29">
        <v>312</v>
      </c>
      <c r="F430" s="28" t="s">
        <v>41</v>
      </c>
    </row>
    <row r="431" spans="1:6" s="29" customFormat="1" x14ac:dyDescent="0.25">
      <c r="A431" s="28" t="s">
        <v>37</v>
      </c>
      <c r="B431" s="28" t="s">
        <v>44</v>
      </c>
      <c r="C431" s="28" t="s">
        <v>45</v>
      </c>
      <c r="D431" s="28" t="s">
        <v>40</v>
      </c>
      <c r="E431" s="29">
        <v>198.00000000000003</v>
      </c>
      <c r="F431" s="28" t="s">
        <v>41</v>
      </c>
    </row>
    <row r="432" spans="1:6" s="29" customFormat="1" x14ac:dyDescent="0.25">
      <c r="A432" s="28" t="s">
        <v>735</v>
      </c>
      <c r="B432" s="28" t="s">
        <v>44</v>
      </c>
      <c r="C432" s="28" t="s">
        <v>45</v>
      </c>
      <c r="D432" s="28" t="s">
        <v>40</v>
      </c>
      <c r="E432" s="29">
        <v>35</v>
      </c>
      <c r="F432" s="28" t="s">
        <v>41</v>
      </c>
    </row>
    <row r="433" spans="1:6" s="29" customFormat="1" x14ac:dyDescent="0.25">
      <c r="A433" s="28" t="s">
        <v>37</v>
      </c>
      <c r="B433" s="28" t="s">
        <v>100</v>
      </c>
      <c r="C433" s="28" t="s">
        <v>101</v>
      </c>
      <c r="D433" s="28" t="s">
        <v>40</v>
      </c>
      <c r="E433" s="29">
        <v>281</v>
      </c>
      <c r="F433" s="28" t="s">
        <v>41</v>
      </c>
    </row>
    <row r="434" spans="1:6" s="29" customFormat="1" x14ac:dyDescent="0.25">
      <c r="A434" s="28" t="s">
        <v>37</v>
      </c>
      <c r="B434" s="28" t="s">
        <v>88</v>
      </c>
      <c r="C434" s="28" t="s">
        <v>89</v>
      </c>
      <c r="D434" s="28" t="s">
        <v>40</v>
      </c>
      <c r="E434" s="29">
        <v>510</v>
      </c>
      <c r="F434" s="28" t="s">
        <v>41</v>
      </c>
    </row>
    <row r="435" spans="1:6" x14ac:dyDescent="0.25">
      <c r="A435" t="s">
        <v>36</v>
      </c>
      <c r="E435">
        <f>SUBTOTAL(109,Bin_Content[Quantity])</f>
        <v>35751</v>
      </c>
      <c r="F435">
        <f>SUBTOTAL(103,Bin_Content[UOM])</f>
        <v>433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31E7-185B-4A03-B1F0-7F783F062C20}">
  <dimension ref="A1:W16"/>
  <sheetViews>
    <sheetView topLeftCell="B2" workbookViewId="0">
      <selection activeCell="K21" sqref="K21"/>
    </sheetView>
  </sheetViews>
  <sheetFormatPr defaultRowHeight="15" x14ac:dyDescent="0.25"/>
  <cols>
    <col min="1" max="1" width="9.140625" hidden="1" customWidth="1"/>
    <col min="4" max="5" width="13.5703125" bestFit="1" customWidth="1"/>
    <col min="6" max="6" width="14.7109375" bestFit="1" customWidth="1"/>
    <col min="7" max="7" width="15.5703125" bestFit="1" customWidth="1"/>
    <col min="8" max="9" width="13.5703125" bestFit="1" customWidth="1"/>
    <col min="10" max="10" width="42.85546875" bestFit="1" customWidth="1"/>
    <col min="11" max="11" width="20.85546875" bestFit="1" customWidth="1"/>
    <col min="12" max="13" width="13.5703125" bestFit="1" customWidth="1"/>
  </cols>
  <sheetData>
    <row r="1" spans="1:23" hidden="1" x14ac:dyDescent="0.25">
      <c r="A1" s="1" t="s">
        <v>0</v>
      </c>
      <c r="D1" t="s">
        <v>34</v>
      </c>
      <c r="E1" t="s">
        <v>35</v>
      </c>
      <c r="F1" t="s">
        <v>35</v>
      </c>
      <c r="G1" t="s">
        <v>35</v>
      </c>
      <c r="H1" t="s">
        <v>35</v>
      </c>
      <c r="I1" t="s">
        <v>35</v>
      </c>
      <c r="J1" t="s">
        <v>35</v>
      </c>
      <c r="K1" t="s">
        <v>35</v>
      </c>
      <c r="L1" t="s">
        <v>35</v>
      </c>
      <c r="M1" t="s">
        <v>35</v>
      </c>
    </row>
    <row r="3" spans="1:23" hidden="1" x14ac:dyDescent="0.25">
      <c r="A3" s="1" t="s">
        <v>1</v>
      </c>
      <c r="C3" s="2" t="s">
        <v>2</v>
      </c>
      <c r="D3" s="3" t="s">
        <v>3</v>
      </c>
      <c r="E3" s="9"/>
      <c r="F3" s="9"/>
      <c r="G3" s="9"/>
      <c r="H3" s="9"/>
      <c r="I3" s="9"/>
      <c r="J3" s="9"/>
      <c r="K3" s="9"/>
      <c r="L3" s="9"/>
      <c r="M3" s="9"/>
    </row>
    <row r="4" spans="1:23" ht="15.75" hidden="1" thickTop="1" x14ac:dyDescent="0.25">
      <c r="A4" s="1" t="s">
        <v>1</v>
      </c>
      <c r="C4" s="4" t="s">
        <v>4</v>
      </c>
      <c r="D4" s="6"/>
      <c r="E4" s="9"/>
      <c r="F4" s="9"/>
      <c r="G4" s="9"/>
      <c r="H4" s="9"/>
      <c r="I4" s="9"/>
      <c r="J4" s="9"/>
      <c r="K4" s="9"/>
      <c r="L4" s="9"/>
      <c r="M4" s="9"/>
    </row>
    <row r="5" spans="1:23" hidden="1" x14ac:dyDescent="0.25">
      <c r="A5" s="1" t="s">
        <v>1</v>
      </c>
      <c r="C5" s="7" t="s">
        <v>5</v>
      </c>
      <c r="D5" s="8" t="s">
        <v>19</v>
      </c>
      <c r="E5" s="22"/>
      <c r="F5" s="22"/>
      <c r="G5" s="22"/>
      <c r="H5" s="22"/>
      <c r="I5" s="22"/>
      <c r="J5" s="22"/>
      <c r="K5" s="22"/>
      <c r="L5" s="22"/>
      <c r="M5" s="22"/>
    </row>
    <row r="6" spans="1:23" hidden="1" x14ac:dyDescent="0.25">
      <c r="A6" s="1" t="s">
        <v>1</v>
      </c>
      <c r="C6" s="7" t="s">
        <v>6</v>
      </c>
      <c r="D6" s="8" t="s">
        <v>7</v>
      </c>
      <c r="E6" s="22"/>
      <c r="F6" s="22"/>
      <c r="G6" s="22"/>
      <c r="H6" s="22"/>
      <c r="I6" s="22"/>
      <c r="J6" s="22"/>
      <c r="K6" s="22"/>
      <c r="L6" s="22"/>
      <c r="M6" s="22"/>
    </row>
    <row r="7" spans="1:23" ht="15.75" hidden="1" thickTop="1" x14ac:dyDescent="0.25">
      <c r="A7" s="1" t="s">
        <v>1</v>
      </c>
      <c r="C7" s="4" t="s">
        <v>8</v>
      </c>
      <c r="D7" s="6"/>
      <c r="E7" s="9"/>
      <c r="F7" s="9"/>
      <c r="G7" s="9"/>
      <c r="H7" s="9"/>
      <c r="I7" s="9"/>
      <c r="J7" s="9"/>
      <c r="K7" s="9"/>
      <c r="L7" s="9"/>
      <c r="M7" s="9"/>
    </row>
    <row r="8" spans="1:23" hidden="1" x14ac:dyDescent="0.25">
      <c r="A8" s="1" t="s">
        <v>1</v>
      </c>
      <c r="C8" s="5" t="s">
        <v>9</v>
      </c>
      <c r="D8" s="21" t="s">
        <v>32</v>
      </c>
      <c r="E8" s="24"/>
      <c r="F8" s="24"/>
      <c r="G8" s="24"/>
      <c r="H8" s="24"/>
      <c r="I8" s="24"/>
      <c r="J8" s="24"/>
      <c r="K8" s="24"/>
      <c r="L8" s="24"/>
      <c r="M8" s="24"/>
    </row>
    <row r="10" spans="1:23" hidden="1" x14ac:dyDescent="0.25">
      <c r="A10" s="1" t="s">
        <v>1</v>
      </c>
      <c r="D10" s="9" t="s">
        <v>10</v>
      </c>
      <c r="E10" s="9"/>
      <c r="F10" s="9"/>
      <c r="G10" s="9"/>
      <c r="H10" s="9"/>
      <c r="I10" s="9"/>
      <c r="J10" s="9"/>
      <c r="K10" s="9"/>
      <c r="L10" s="9"/>
      <c r="M10" s="9"/>
      <c r="N10" s="1" t="str">
        <f>"∞||""Item"",""No."",""=Item No."",""ECVP Customer No."",""QE"""</f>
        <v>∞||"Item","No.","=Item No.","ECVP Customer No.","QE"</v>
      </c>
    </row>
    <row r="11" spans="1:23" hidden="1" x14ac:dyDescent="0.25">
      <c r="A11" s="1" t="s">
        <v>1</v>
      </c>
      <c r="D11" s="9" t="s">
        <v>11</v>
      </c>
      <c r="E11" s="9"/>
      <c r="F11" s="9"/>
      <c r="G11" s="9"/>
      <c r="H11" s="9"/>
      <c r="I11" s="9"/>
      <c r="J11" s="9"/>
      <c r="K11" s="9"/>
      <c r="L11" s="9"/>
      <c r="M11" s="9"/>
      <c r="N11" s="1" t="s">
        <v>27</v>
      </c>
      <c r="O11" s="1" t="s">
        <v>29</v>
      </c>
      <c r="P11" s="1" t="s">
        <v>28</v>
      </c>
      <c r="Q11" s="1" t="s">
        <v>30</v>
      </c>
      <c r="R11" s="1" t="s">
        <v>14</v>
      </c>
      <c r="S11" s="1" t="s">
        <v>15</v>
      </c>
      <c r="T11" s="1" t="s">
        <v>16</v>
      </c>
      <c r="U11" s="1" t="s">
        <v>17</v>
      </c>
      <c r="V11" s="1" t="s">
        <v>6</v>
      </c>
      <c r="W11" s="1" t="s">
        <v>31</v>
      </c>
    </row>
    <row r="12" spans="1:23" hidden="1" x14ac:dyDescent="0.25">
      <c r="A12" s="1" t="s">
        <v>1</v>
      </c>
      <c r="D12" s="9" t="s">
        <v>12</v>
      </c>
      <c r="E12" s="9"/>
      <c r="F12" s="9"/>
      <c r="G12" s="9"/>
      <c r="H12" s="9"/>
      <c r="I12" s="9"/>
      <c r="J12" s="9"/>
      <c r="K12" s="9"/>
      <c r="L12" s="9"/>
      <c r="M12" s="9"/>
      <c r="N12" s="1" t="s">
        <v>13</v>
      </c>
      <c r="O12" s="1" t="s">
        <v>5</v>
      </c>
      <c r="P12" s="1" t="str">
        <f>"FlowField([ECSP Bin Storage Type Code])"</f>
        <v>FlowField([ECSP Bin Storage Type Code])</v>
      </c>
      <c r="Q12" s="1" t="str">
        <f>"LinkField([Item],[ECVP Customer No.])"</f>
        <v>LinkField([Item],[ECVP Customer No.])</v>
      </c>
      <c r="R12" s="1" t="s">
        <v>14</v>
      </c>
      <c r="S12" s="1" t="s">
        <v>15</v>
      </c>
      <c r="T12" s="1" t="str">
        <f>"LinkField([Item],[Description])"</f>
        <v>LinkField([Item],[Description])</v>
      </c>
      <c r="U12" s="1" t="str">
        <f>"LinkField([Item],[Description 2])"</f>
        <v>LinkField([Item],[Description 2])</v>
      </c>
      <c r="V12" s="1" t="str">
        <f>"FlowField([Quantity])"</f>
        <v>FlowField([Quantity])</v>
      </c>
      <c r="W12" s="1" t="s">
        <v>18</v>
      </c>
    </row>
    <row r="13" spans="1:23" x14ac:dyDescent="0.25">
      <c r="D13" t="s">
        <v>27</v>
      </c>
      <c r="E13" t="s">
        <v>29</v>
      </c>
      <c r="F13" t="s">
        <v>28</v>
      </c>
      <c r="G13" t="s">
        <v>30</v>
      </c>
      <c r="H13" t="s">
        <v>14</v>
      </c>
      <c r="I13" t="s">
        <v>15</v>
      </c>
      <c r="J13" t="s">
        <v>16</v>
      </c>
      <c r="K13" t="s">
        <v>17</v>
      </c>
      <c r="L13" t="s">
        <v>6</v>
      </c>
      <c r="M13" t="s">
        <v>31</v>
      </c>
    </row>
    <row r="14" spans="1:23" x14ac:dyDescent="0.25">
      <c r="A14" t="s">
        <v>33</v>
      </c>
      <c r="D14" s="23" t="s">
        <v>37</v>
      </c>
      <c r="E14" s="23" t="s">
        <v>786</v>
      </c>
      <c r="F14" s="23" t="s">
        <v>787</v>
      </c>
      <c r="G14" s="23" t="s">
        <v>32</v>
      </c>
      <c r="H14" s="23" t="s">
        <v>788</v>
      </c>
      <c r="I14" s="23" t="s">
        <v>789</v>
      </c>
      <c r="J14" s="23" t="s">
        <v>790</v>
      </c>
      <c r="K14" s="23" t="s">
        <v>40</v>
      </c>
      <c r="L14">
        <v>10</v>
      </c>
      <c r="M14" s="23" t="s">
        <v>41</v>
      </c>
    </row>
    <row r="15" spans="1:23" x14ac:dyDescent="0.25">
      <c r="A15" t="s">
        <v>33</v>
      </c>
      <c r="D15" s="23" t="s">
        <v>735</v>
      </c>
      <c r="E15" s="23" t="s">
        <v>791</v>
      </c>
      <c r="F15" s="23" t="s">
        <v>792</v>
      </c>
      <c r="G15" s="23" t="s">
        <v>32</v>
      </c>
      <c r="H15" s="23" t="s">
        <v>793</v>
      </c>
      <c r="I15" s="23" t="s">
        <v>522</v>
      </c>
      <c r="J15" s="23" t="s">
        <v>523</v>
      </c>
      <c r="K15" s="23" t="s">
        <v>40</v>
      </c>
      <c r="L15">
        <v>5</v>
      </c>
      <c r="M15" s="23" t="s">
        <v>41</v>
      </c>
    </row>
    <row r="16" spans="1:23" x14ac:dyDescent="0.25">
      <c r="A16" t="s">
        <v>33</v>
      </c>
      <c r="D16" t="s">
        <v>36</v>
      </c>
      <c r="L16">
        <f>SUBTOTAL(109,Bin_Content_1[Quantity])</f>
        <v>15</v>
      </c>
      <c r="M16">
        <f>SUBTOTAL(103,Bin_Content_1[UOM])</f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9B3C-E724-4D62-89CF-134D598C37F2}">
  <dimension ref="A1:F14"/>
  <sheetViews>
    <sheetView showGridLines="0" topLeftCell="D2" workbookViewId="0">
      <selection activeCell="C3" sqref="C3"/>
    </sheetView>
  </sheetViews>
  <sheetFormatPr defaultRowHeight="12.75" x14ac:dyDescent="0.2"/>
  <cols>
    <col min="1" max="1" width="24.140625" style="11" hidden="1" customWidth="1"/>
    <col min="2" max="2" width="9.140625" style="11" hidden="1" customWidth="1"/>
    <col min="3" max="3" width="21" style="11" hidden="1" customWidth="1"/>
    <col min="4" max="4" width="9.140625" style="11"/>
    <col min="5" max="5" width="11.5703125" style="11" bestFit="1" customWidth="1"/>
    <col min="6" max="6" width="79.140625" style="11" bestFit="1" customWidth="1"/>
    <col min="7" max="16384" width="9.140625" style="11"/>
  </cols>
  <sheetData>
    <row r="1" spans="1:6" hidden="1" x14ac:dyDescent="0.2">
      <c r="A1" s="10" t="s">
        <v>20</v>
      </c>
      <c r="B1" s="11" t="s">
        <v>1</v>
      </c>
      <c r="C1" s="11" t="s">
        <v>1</v>
      </c>
    </row>
    <row r="2" spans="1:6" x14ac:dyDescent="0.2">
      <c r="B2" s="11" t="s">
        <v>9</v>
      </c>
      <c r="C2" s="12" t="str">
        <f>Customer</f>
        <v>QE</v>
      </c>
      <c r="E2" s="13" t="s">
        <v>21</v>
      </c>
      <c r="F2" s="13"/>
    </row>
    <row r="3" spans="1:6" x14ac:dyDescent="0.2">
      <c r="C3" s="14"/>
      <c r="E3" s="13" t="s">
        <v>22</v>
      </c>
      <c r="F3" s="13"/>
    </row>
    <row r="4" spans="1:6" x14ac:dyDescent="0.2">
      <c r="E4" s="13" t="s">
        <v>23</v>
      </c>
      <c r="F4" s="15"/>
    </row>
    <row r="5" spans="1:6" x14ac:dyDescent="0.2">
      <c r="E5" s="13" t="s">
        <v>24</v>
      </c>
      <c r="F5" s="13" t="s">
        <v>25</v>
      </c>
    </row>
    <row r="6" spans="1:6" ht="13.5" thickBot="1" x14ac:dyDescent="0.25"/>
    <row r="7" spans="1:6" x14ac:dyDescent="0.2">
      <c r="E7" s="25" t="s">
        <v>26</v>
      </c>
      <c r="F7" s="16"/>
    </row>
    <row r="8" spans="1:6" ht="15" customHeight="1" x14ac:dyDescent="0.2">
      <c r="E8" s="26"/>
      <c r="F8" s="17"/>
    </row>
    <row r="9" spans="1:6" ht="54.75" customHeight="1" x14ac:dyDescent="0.2">
      <c r="E9" s="26"/>
      <c r="F9" s="18"/>
    </row>
    <row r="10" spans="1:6" ht="15" customHeight="1" x14ac:dyDescent="0.2">
      <c r="E10" s="26"/>
      <c r="F10" s="17"/>
    </row>
    <row r="11" spans="1:6" ht="15" customHeight="1" x14ac:dyDescent="0.2">
      <c r="E11" s="26"/>
      <c r="F11" s="17"/>
    </row>
    <row r="12" spans="1:6" ht="15" customHeight="1" x14ac:dyDescent="0.2">
      <c r="E12" s="26"/>
      <c r="F12" s="17"/>
    </row>
    <row r="13" spans="1:6" ht="15" customHeight="1" x14ac:dyDescent="0.2">
      <c r="E13" s="26"/>
      <c r="F13" s="19"/>
    </row>
    <row r="14" spans="1:6" ht="15.75" customHeight="1" thickBot="1" x14ac:dyDescent="0.25">
      <c r="E14" s="27"/>
      <c r="F14" s="20"/>
    </row>
  </sheetData>
  <mergeCells count="1">
    <mergeCell ref="E7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Stock</vt:lpstr>
      <vt:lpstr>QA &amp; Damages</vt:lpstr>
      <vt:lpstr>Email Detail</vt:lpstr>
      <vt:lpstr>Customer</vt:lpstr>
      <vt:lpstr>EmailBody</vt:lpstr>
      <vt:lpstr>EmailSubject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Ashby</dc:creator>
  <cp:lastModifiedBy>Accounts QED</cp:lastModifiedBy>
  <dcterms:created xsi:type="dcterms:W3CDTF">2023-07-31T05:42:15Z</dcterms:created>
  <dcterms:modified xsi:type="dcterms:W3CDTF">2025-07-17T05:59:34Z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Design Mode Active">
    <vt:bool>false</vt:bool>
  </property>
  <property fmtid="{D5CDD505-2E9C-101B-9397-08002B2CF9AE}" pid="3" name="Jet Reports Function Literals">
    <vt:lpwstr>,	;	,	{	}	[@[{0}]]	1033	3081</vt:lpwstr>
  </property>
</Properties>
</file>